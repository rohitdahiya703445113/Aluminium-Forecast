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3445113\Desktop\files\"/>
    </mc:Choice>
  </mc:AlternateContent>
  <xr:revisionPtr revIDLastSave="0" documentId="13_ncr:1_{31D7B7D7-83BF-4ABE-A055-E143ED5ADD0B}" xr6:coauthVersionLast="47" xr6:coauthVersionMax="47" xr10:uidLastSave="{00000000-0000-0000-0000-000000000000}"/>
  <bookViews>
    <workbookView xWindow="-110" yWindow="-110" windowWidth="19420" windowHeight="11500" xr2:uid="{17CBA61D-CED2-4884-BA60-A4BB5AD53C97}"/>
  </bookViews>
  <sheets>
    <sheet name="Surcharge Calculator 7-20-26" sheetId="1" r:id="rId1"/>
  </sheets>
  <definedNames>
    <definedName name="_xlnm._FilterDatabase" localSheetId="0" hidden="1">'Surcharge Calculator 7-20-26'!$A$1:$N$129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5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L2" i="1"/>
  <c r="K129" i="1"/>
  <c r="J129" i="1"/>
  <c r="H129" i="1"/>
  <c r="G129" i="1"/>
  <c r="F129" i="1"/>
  <c r="E129" i="1"/>
  <c r="K128" i="1"/>
  <c r="J128" i="1"/>
  <c r="H128" i="1"/>
  <c r="G128" i="1"/>
  <c r="F128" i="1"/>
  <c r="E128" i="1"/>
  <c r="K127" i="1"/>
  <c r="J127" i="1"/>
  <c r="H127" i="1"/>
  <c r="G127" i="1"/>
  <c r="F127" i="1"/>
  <c r="E127" i="1"/>
  <c r="K126" i="1"/>
  <c r="J126" i="1"/>
  <c r="H126" i="1"/>
  <c r="G126" i="1"/>
  <c r="F126" i="1"/>
  <c r="E126" i="1"/>
  <c r="K125" i="1"/>
  <c r="J125" i="1"/>
  <c r="H125" i="1"/>
  <c r="G125" i="1"/>
  <c r="F125" i="1"/>
  <c r="E125" i="1"/>
  <c r="K124" i="1"/>
  <c r="J124" i="1"/>
  <c r="H124" i="1"/>
  <c r="G124" i="1"/>
  <c r="F124" i="1"/>
  <c r="E124" i="1"/>
  <c r="K123" i="1"/>
  <c r="J123" i="1"/>
  <c r="H123" i="1"/>
  <c r="G123" i="1"/>
  <c r="F123" i="1"/>
  <c r="E123" i="1"/>
  <c r="K122" i="1"/>
  <c r="J122" i="1"/>
  <c r="H122" i="1"/>
  <c r="G122" i="1"/>
  <c r="F122" i="1"/>
  <c r="E122" i="1"/>
  <c r="K121" i="1"/>
  <c r="J121" i="1"/>
  <c r="H121" i="1"/>
  <c r="G121" i="1"/>
  <c r="F121" i="1"/>
  <c r="E121" i="1"/>
  <c r="K120" i="1"/>
  <c r="J120" i="1"/>
  <c r="H120" i="1"/>
  <c r="G120" i="1"/>
  <c r="F120" i="1"/>
  <c r="E120" i="1"/>
  <c r="K119" i="1"/>
  <c r="J119" i="1"/>
  <c r="H119" i="1"/>
  <c r="G119" i="1"/>
  <c r="F119" i="1"/>
  <c r="E119" i="1"/>
  <c r="K118" i="1"/>
  <c r="J118" i="1"/>
  <c r="H118" i="1"/>
  <c r="G118" i="1"/>
  <c r="F118" i="1"/>
  <c r="E118" i="1"/>
  <c r="K117" i="1"/>
  <c r="J117" i="1"/>
  <c r="H117" i="1"/>
  <c r="G117" i="1"/>
  <c r="F117" i="1"/>
  <c r="E117" i="1"/>
  <c r="K116" i="1"/>
  <c r="J116" i="1"/>
  <c r="H116" i="1"/>
  <c r="G116" i="1"/>
  <c r="F116" i="1"/>
  <c r="E116" i="1"/>
  <c r="K115" i="1"/>
  <c r="J115" i="1"/>
  <c r="H115" i="1"/>
  <c r="G115" i="1"/>
  <c r="F115" i="1"/>
  <c r="E115" i="1"/>
  <c r="K114" i="1"/>
  <c r="J114" i="1"/>
  <c r="H114" i="1"/>
  <c r="G114" i="1"/>
  <c r="F114" i="1"/>
  <c r="E114" i="1"/>
  <c r="K113" i="1"/>
  <c r="J113" i="1"/>
  <c r="H113" i="1"/>
  <c r="G113" i="1"/>
  <c r="F113" i="1"/>
  <c r="E113" i="1"/>
  <c r="K112" i="1"/>
  <c r="J112" i="1"/>
  <c r="H112" i="1"/>
  <c r="G112" i="1"/>
  <c r="F112" i="1"/>
  <c r="E112" i="1"/>
  <c r="K111" i="1"/>
  <c r="J111" i="1"/>
  <c r="H111" i="1"/>
  <c r="G111" i="1"/>
  <c r="F111" i="1"/>
  <c r="E111" i="1"/>
  <c r="K110" i="1"/>
  <c r="J110" i="1"/>
  <c r="H110" i="1"/>
  <c r="G110" i="1"/>
  <c r="F110" i="1"/>
  <c r="E110" i="1"/>
  <c r="K109" i="1"/>
  <c r="J109" i="1"/>
  <c r="H109" i="1"/>
  <c r="G109" i="1"/>
  <c r="F109" i="1"/>
  <c r="E109" i="1"/>
  <c r="K108" i="1"/>
  <c r="J108" i="1"/>
  <c r="H108" i="1"/>
  <c r="G108" i="1"/>
  <c r="F108" i="1"/>
  <c r="E108" i="1"/>
  <c r="K107" i="1"/>
  <c r="J107" i="1"/>
  <c r="H107" i="1"/>
  <c r="G107" i="1"/>
  <c r="F107" i="1"/>
  <c r="E107" i="1"/>
  <c r="K106" i="1"/>
  <c r="J106" i="1"/>
  <c r="H106" i="1"/>
  <c r="G106" i="1"/>
  <c r="F106" i="1"/>
  <c r="E106" i="1"/>
  <c r="K105" i="1"/>
  <c r="J105" i="1"/>
  <c r="H105" i="1"/>
  <c r="G105" i="1"/>
  <c r="F105" i="1"/>
  <c r="E105" i="1"/>
  <c r="K104" i="1"/>
  <c r="J104" i="1"/>
  <c r="H104" i="1"/>
  <c r="G104" i="1"/>
  <c r="F104" i="1"/>
  <c r="E104" i="1"/>
  <c r="K103" i="1"/>
  <c r="J103" i="1"/>
  <c r="F103" i="1"/>
  <c r="E103" i="1"/>
  <c r="K102" i="1"/>
  <c r="J102" i="1"/>
  <c r="H102" i="1"/>
  <c r="G102" i="1"/>
  <c r="F102" i="1"/>
  <c r="E102" i="1"/>
  <c r="K101" i="1"/>
  <c r="J101" i="1"/>
  <c r="H101" i="1"/>
  <c r="G101" i="1"/>
  <c r="F101" i="1"/>
  <c r="E101" i="1"/>
  <c r="K100" i="1"/>
  <c r="J100" i="1"/>
  <c r="H100" i="1"/>
  <c r="G100" i="1"/>
  <c r="F100" i="1"/>
  <c r="E100" i="1"/>
  <c r="K99" i="1"/>
  <c r="J99" i="1"/>
  <c r="H99" i="1"/>
  <c r="G99" i="1"/>
  <c r="F99" i="1"/>
  <c r="E99" i="1"/>
  <c r="K98" i="1"/>
  <c r="J98" i="1"/>
  <c r="H98" i="1"/>
  <c r="G98" i="1"/>
  <c r="F98" i="1"/>
  <c r="E98" i="1"/>
  <c r="K97" i="1"/>
  <c r="J97" i="1"/>
  <c r="H97" i="1"/>
  <c r="G97" i="1"/>
  <c r="F97" i="1"/>
  <c r="E97" i="1"/>
  <c r="K96" i="1"/>
  <c r="J96" i="1"/>
  <c r="H96" i="1"/>
  <c r="G96" i="1"/>
  <c r="F96" i="1"/>
  <c r="E96" i="1"/>
  <c r="K95" i="1"/>
  <c r="J95" i="1"/>
  <c r="H95" i="1"/>
  <c r="G95" i="1"/>
  <c r="F95" i="1"/>
  <c r="E95" i="1"/>
  <c r="K94" i="1"/>
  <c r="J94" i="1"/>
  <c r="H94" i="1"/>
  <c r="G94" i="1"/>
  <c r="F94" i="1"/>
  <c r="E94" i="1"/>
  <c r="K93" i="1"/>
  <c r="J93" i="1"/>
  <c r="H93" i="1"/>
  <c r="G93" i="1"/>
  <c r="F93" i="1"/>
  <c r="E93" i="1"/>
  <c r="K92" i="1"/>
  <c r="J92" i="1"/>
  <c r="H92" i="1"/>
  <c r="G92" i="1"/>
  <c r="F92" i="1"/>
  <c r="E92" i="1"/>
  <c r="K91" i="1"/>
  <c r="J91" i="1"/>
  <c r="H91" i="1"/>
  <c r="G91" i="1"/>
  <c r="F91" i="1"/>
  <c r="E91" i="1"/>
  <c r="K90" i="1"/>
  <c r="J90" i="1"/>
  <c r="H90" i="1"/>
  <c r="G90" i="1"/>
  <c r="F90" i="1"/>
  <c r="E90" i="1"/>
  <c r="K89" i="1"/>
  <c r="J89" i="1"/>
  <c r="H89" i="1"/>
  <c r="G89" i="1"/>
  <c r="F89" i="1"/>
  <c r="E89" i="1"/>
  <c r="K88" i="1"/>
  <c r="J88" i="1"/>
  <c r="H88" i="1"/>
  <c r="G88" i="1"/>
  <c r="F88" i="1"/>
  <c r="E88" i="1"/>
  <c r="K87" i="1"/>
  <c r="J87" i="1"/>
  <c r="H87" i="1"/>
  <c r="G87" i="1"/>
  <c r="F87" i="1"/>
  <c r="E87" i="1"/>
  <c r="K86" i="1"/>
  <c r="J86" i="1"/>
  <c r="H86" i="1"/>
  <c r="G86" i="1"/>
  <c r="F86" i="1"/>
  <c r="E86" i="1"/>
  <c r="K85" i="1"/>
  <c r="J85" i="1"/>
  <c r="H85" i="1"/>
  <c r="G85" i="1"/>
  <c r="F85" i="1"/>
  <c r="E85" i="1"/>
  <c r="K84" i="1"/>
  <c r="J84" i="1"/>
  <c r="H84" i="1"/>
  <c r="G84" i="1"/>
  <c r="F84" i="1"/>
  <c r="E84" i="1"/>
  <c r="K83" i="1"/>
  <c r="J83" i="1"/>
  <c r="H83" i="1"/>
  <c r="G83" i="1"/>
  <c r="F83" i="1"/>
  <c r="E83" i="1"/>
  <c r="K82" i="1"/>
  <c r="J82" i="1"/>
  <c r="H82" i="1"/>
  <c r="G82" i="1"/>
  <c r="F82" i="1"/>
  <c r="E82" i="1"/>
  <c r="K81" i="1"/>
  <c r="J81" i="1"/>
  <c r="H81" i="1"/>
  <c r="G81" i="1"/>
  <c r="F81" i="1"/>
  <c r="E81" i="1"/>
  <c r="K80" i="1"/>
  <c r="J80" i="1"/>
  <c r="H80" i="1"/>
  <c r="G80" i="1"/>
  <c r="F80" i="1"/>
  <c r="E80" i="1"/>
  <c r="K79" i="1"/>
  <c r="J79" i="1"/>
  <c r="H79" i="1"/>
  <c r="G79" i="1"/>
  <c r="F79" i="1"/>
  <c r="E79" i="1"/>
  <c r="K78" i="1"/>
  <c r="J78" i="1"/>
  <c r="H78" i="1"/>
  <c r="G78" i="1"/>
  <c r="F78" i="1"/>
  <c r="E78" i="1"/>
  <c r="K77" i="1"/>
  <c r="J77" i="1"/>
  <c r="H77" i="1"/>
  <c r="G77" i="1"/>
  <c r="F77" i="1"/>
  <c r="E77" i="1"/>
  <c r="K76" i="1"/>
  <c r="J76" i="1"/>
  <c r="H76" i="1"/>
  <c r="G76" i="1"/>
  <c r="F76" i="1"/>
  <c r="E76" i="1"/>
  <c r="K75" i="1"/>
  <c r="J75" i="1"/>
  <c r="H75" i="1"/>
  <c r="G75" i="1"/>
  <c r="F75" i="1"/>
  <c r="E75" i="1"/>
  <c r="K74" i="1"/>
  <c r="J74" i="1"/>
  <c r="H74" i="1"/>
  <c r="G74" i="1"/>
  <c r="F74" i="1"/>
  <c r="E74" i="1"/>
  <c r="K73" i="1"/>
  <c r="J73" i="1"/>
  <c r="H73" i="1"/>
  <c r="G73" i="1"/>
  <c r="F73" i="1"/>
  <c r="E73" i="1"/>
  <c r="K72" i="1"/>
  <c r="J72" i="1"/>
  <c r="H72" i="1"/>
  <c r="G72" i="1"/>
  <c r="F72" i="1"/>
  <c r="E72" i="1"/>
  <c r="K71" i="1"/>
  <c r="J71" i="1"/>
  <c r="H71" i="1"/>
  <c r="G71" i="1"/>
  <c r="F71" i="1"/>
  <c r="E71" i="1"/>
  <c r="K70" i="1"/>
  <c r="J70" i="1"/>
  <c r="H70" i="1"/>
  <c r="G70" i="1"/>
  <c r="F70" i="1"/>
  <c r="E70" i="1"/>
  <c r="K69" i="1"/>
  <c r="J69" i="1"/>
  <c r="H69" i="1"/>
  <c r="G69" i="1"/>
  <c r="F69" i="1"/>
  <c r="E69" i="1"/>
  <c r="K68" i="1"/>
  <c r="J68" i="1"/>
  <c r="H68" i="1"/>
  <c r="G68" i="1"/>
  <c r="F68" i="1"/>
  <c r="E68" i="1"/>
  <c r="K67" i="1"/>
  <c r="J67" i="1"/>
  <c r="H67" i="1"/>
  <c r="G67" i="1"/>
  <c r="F67" i="1"/>
  <c r="E67" i="1"/>
  <c r="K66" i="1"/>
  <c r="J66" i="1"/>
  <c r="H66" i="1"/>
  <c r="G66" i="1"/>
  <c r="F66" i="1"/>
  <c r="E66" i="1"/>
  <c r="K65" i="1"/>
  <c r="J65" i="1"/>
  <c r="H65" i="1"/>
  <c r="G65" i="1"/>
  <c r="F65" i="1"/>
  <c r="E65" i="1"/>
  <c r="K64" i="1"/>
  <c r="J64" i="1"/>
  <c r="H64" i="1"/>
  <c r="G64" i="1"/>
  <c r="F64" i="1"/>
  <c r="E64" i="1"/>
  <c r="K63" i="1"/>
  <c r="J63" i="1"/>
  <c r="H63" i="1"/>
  <c r="G63" i="1"/>
  <c r="F63" i="1"/>
  <c r="E63" i="1"/>
  <c r="K62" i="1"/>
  <c r="J62" i="1"/>
  <c r="H62" i="1"/>
  <c r="G62" i="1"/>
  <c r="F62" i="1"/>
  <c r="E62" i="1"/>
  <c r="K61" i="1"/>
  <c r="J61" i="1"/>
  <c r="H61" i="1"/>
  <c r="G61" i="1"/>
  <c r="F61" i="1"/>
  <c r="E61" i="1"/>
  <c r="K60" i="1"/>
  <c r="J60" i="1"/>
  <c r="H60" i="1"/>
  <c r="G60" i="1"/>
  <c r="F60" i="1"/>
  <c r="E60" i="1"/>
  <c r="K59" i="1"/>
  <c r="J59" i="1"/>
  <c r="H59" i="1"/>
  <c r="G59" i="1"/>
  <c r="F59" i="1"/>
  <c r="E59" i="1"/>
  <c r="K58" i="1"/>
  <c r="J58" i="1"/>
  <c r="H58" i="1"/>
  <c r="G58" i="1"/>
  <c r="F58" i="1"/>
  <c r="E58" i="1"/>
  <c r="K57" i="1"/>
  <c r="J57" i="1"/>
  <c r="H57" i="1"/>
  <c r="G57" i="1"/>
  <c r="F57" i="1"/>
  <c r="E57" i="1"/>
  <c r="K56" i="1"/>
  <c r="J56" i="1"/>
  <c r="H56" i="1"/>
  <c r="G56" i="1"/>
  <c r="F56" i="1"/>
  <c r="E56" i="1"/>
  <c r="K55" i="1"/>
  <c r="J55" i="1"/>
  <c r="H55" i="1"/>
  <c r="G55" i="1"/>
  <c r="F55" i="1"/>
  <c r="E55" i="1"/>
  <c r="K54" i="1"/>
  <c r="J54" i="1"/>
  <c r="H54" i="1"/>
  <c r="G54" i="1"/>
  <c r="F54" i="1"/>
  <c r="E54" i="1"/>
  <c r="K53" i="1"/>
  <c r="J53" i="1"/>
  <c r="H53" i="1"/>
  <c r="G53" i="1"/>
  <c r="F53" i="1"/>
  <c r="E53" i="1"/>
  <c r="K52" i="1"/>
  <c r="J52" i="1"/>
  <c r="H52" i="1"/>
  <c r="G52" i="1"/>
  <c r="F52" i="1"/>
  <c r="E52" i="1"/>
  <c r="K51" i="1"/>
  <c r="J51" i="1"/>
  <c r="H51" i="1"/>
  <c r="G51" i="1"/>
  <c r="F51" i="1"/>
  <c r="E51" i="1"/>
  <c r="K50" i="1"/>
  <c r="J50" i="1"/>
  <c r="H50" i="1"/>
  <c r="G50" i="1"/>
  <c r="F50" i="1"/>
  <c r="E50" i="1"/>
  <c r="K49" i="1"/>
  <c r="J49" i="1"/>
  <c r="H49" i="1"/>
  <c r="G49" i="1"/>
  <c r="F49" i="1"/>
  <c r="E49" i="1"/>
  <c r="K48" i="1"/>
  <c r="J48" i="1"/>
  <c r="F48" i="1"/>
  <c r="E48" i="1"/>
  <c r="K47" i="1"/>
  <c r="J47" i="1"/>
  <c r="H47" i="1"/>
  <c r="G47" i="1"/>
  <c r="F47" i="1"/>
  <c r="E47" i="1"/>
  <c r="K46" i="1"/>
  <c r="J46" i="1"/>
  <c r="H46" i="1"/>
  <c r="G46" i="1"/>
  <c r="F46" i="1"/>
  <c r="E46" i="1"/>
  <c r="K45" i="1"/>
  <c r="J45" i="1"/>
  <c r="H45" i="1"/>
  <c r="G45" i="1"/>
  <c r="F45" i="1"/>
  <c r="E45" i="1"/>
  <c r="K44" i="1"/>
  <c r="J44" i="1"/>
  <c r="H44" i="1"/>
  <c r="G44" i="1"/>
  <c r="F44" i="1"/>
  <c r="E44" i="1"/>
  <c r="K43" i="1"/>
  <c r="J43" i="1"/>
  <c r="H43" i="1"/>
  <c r="G43" i="1"/>
  <c r="F43" i="1"/>
  <c r="E43" i="1"/>
  <c r="K42" i="1"/>
  <c r="J42" i="1"/>
  <c r="H42" i="1"/>
  <c r="G42" i="1"/>
  <c r="F42" i="1"/>
  <c r="E42" i="1"/>
  <c r="K41" i="1"/>
  <c r="J41" i="1"/>
  <c r="F41" i="1"/>
  <c r="E41" i="1"/>
  <c r="K40" i="1"/>
  <c r="J40" i="1"/>
  <c r="H40" i="1"/>
  <c r="G40" i="1"/>
  <c r="F40" i="1"/>
  <c r="E40" i="1"/>
  <c r="K39" i="1"/>
  <c r="J39" i="1"/>
  <c r="H39" i="1"/>
  <c r="G39" i="1"/>
  <c r="F39" i="1"/>
  <c r="E39" i="1"/>
  <c r="K38" i="1"/>
  <c r="J38" i="1"/>
  <c r="H38" i="1"/>
  <c r="G38" i="1"/>
  <c r="F38" i="1"/>
  <c r="E38" i="1"/>
  <c r="K37" i="1"/>
  <c r="J37" i="1"/>
  <c r="H37" i="1"/>
  <c r="G37" i="1"/>
  <c r="F37" i="1"/>
  <c r="E37" i="1"/>
  <c r="K36" i="1"/>
  <c r="J36" i="1"/>
  <c r="H36" i="1"/>
  <c r="G36" i="1"/>
  <c r="F36" i="1"/>
  <c r="E36" i="1"/>
  <c r="K35" i="1"/>
  <c r="J35" i="1"/>
  <c r="H35" i="1"/>
  <c r="G35" i="1"/>
  <c r="F35" i="1"/>
  <c r="E35" i="1"/>
  <c r="K34" i="1"/>
  <c r="J34" i="1"/>
  <c r="H34" i="1"/>
  <c r="G34" i="1"/>
  <c r="F34" i="1"/>
  <c r="E34" i="1"/>
  <c r="K33" i="1"/>
  <c r="J33" i="1"/>
  <c r="H33" i="1"/>
  <c r="G33" i="1"/>
  <c r="F33" i="1"/>
  <c r="E33" i="1"/>
  <c r="K32" i="1"/>
  <c r="J32" i="1"/>
  <c r="H32" i="1"/>
  <c r="G32" i="1"/>
  <c r="F32" i="1"/>
  <c r="E32" i="1"/>
  <c r="K31" i="1"/>
  <c r="J31" i="1"/>
  <c r="H31" i="1"/>
  <c r="G31" i="1"/>
  <c r="F31" i="1"/>
  <c r="E31" i="1"/>
  <c r="K30" i="1"/>
  <c r="J30" i="1"/>
  <c r="H30" i="1"/>
  <c r="G30" i="1"/>
  <c r="F30" i="1"/>
  <c r="E30" i="1"/>
  <c r="K29" i="1"/>
  <c r="J29" i="1"/>
  <c r="H29" i="1"/>
  <c r="G29" i="1"/>
  <c r="F29" i="1"/>
  <c r="E29" i="1"/>
  <c r="K28" i="1"/>
  <c r="J28" i="1"/>
  <c r="H28" i="1"/>
  <c r="G28" i="1"/>
  <c r="F28" i="1"/>
  <c r="E28" i="1"/>
  <c r="K27" i="1"/>
  <c r="J27" i="1"/>
  <c r="H27" i="1"/>
  <c r="G27" i="1"/>
  <c r="F27" i="1"/>
  <c r="E27" i="1"/>
  <c r="K26" i="1"/>
  <c r="J26" i="1"/>
  <c r="H26" i="1"/>
  <c r="G26" i="1"/>
  <c r="F26" i="1"/>
  <c r="E26" i="1"/>
  <c r="K25" i="1"/>
  <c r="J25" i="1"/>
  <c r="H25" i="1"/>
  <c r="G25" i="1"/>
  <c r="F25" i="1"/>
  <c r="E25" i="1"/>
  <c r="K24" i="1"/>
  <c r="J24" i="1"/>
  <c r="H24" i="1"/>
  <c r="G24" i="1"/>
  <c r="F24" i="1"/>
  <c r="E24" i="1"/>
  <c r="K23" i="1"/>
  <c r="J23" i="1"/>
  <c r="H23" i="1"/>
  <c r="G23" i="1"/>
  <c r="F23" i="1"/>
  <c r="E23" i="1"/>
  <c r="K22" i="1"/>
  <c r="J22" i="1"/>
  <c r="H22" i="1"/>
  <c r="G22" i="1"/>
  <c r="F22" i="1"/>
  <c r="E22" i="1"/>
  <c r="K21" i="1"/>
  <c r="J21" i="1"/>
  <c r="H21" i="1"/>
  <c r="G21" i="1"/>
  <c r="F21" i="1"/>
  <c r="E21" i="1"/>
  <c r="K20" i="1"/>
  <c r="J20" i="1"/>
  <c r="H20" i="1"/>
  <c r="G20" i="1"/>
  <c r="F20" i="1"/>
  <c r="E20" i="1"/>
  <c r="K19" i="1"/>
  <c r="J19" i="1"/>
  <c r="H19" i="1"/>
  <c r="G19" i="1"/>
  <c r="F19" i="1"/>
  <c r="E19" i="1"/>
  <c r="K18" i="1"/>
  <c r="J18" i="1"/>
  <c r="H18" i="1"/>
  <c r="G18" i="1"/>
  <c r="F18" i="1"/>
  <c r="E18" i="1"/>
  <c r="K17" i="1"/>
  <c r="J17" i="1"/>
  <c r="H17" i="1"/>
  <c r="G17" i="1"/>
  <c r="F17" i="1"/>
  <c r="E17" i="1"/>
  <c r="K16" i="1"/>
  <c r="J16" i="1"/>
  <c r="H16" i="1"/>
  <c r="G16" i="1"/>
  <c r="F16" i="1"/>
  <c r="E16" i="1"/>
  <c r="K15" i="1"/>
  <c r="J15" i="1"/>
  <c r="H15" i="1"/>
  <c r="G15" i="1"/>
  <c r="F15" i="1"/>
  <c r="E15" i="1"/>
  <c r="K14" i="1"/>
  <c r="J14" i="1"/>
  <c r="H14" i="1"/>
  <c r="G14" i="1"/>
  <c r="F14" i="1"/>
  <c r="E14" i="1"/>
  <c r="K13" i="1"/>
  <c r="J13" i="1"/>
  <c r="H13" i="1"/>
  <c r="G13" i="1"/>
  <c r="F13" i="1"/>
  <c r="E13" i="1"/>
  <c r="K12" i="1"/>
  <c r="J12" i="1"/>
  <c r="H12" i="1"/>
  <c r="G12" i="1"/>
  <c r="F12" i="1"/>
  <c r="E12" i="1"/>
  <c r="K11" i="1"/>
  <c r="J11" i="1"/>
  <c r="H11" i="1"/>
  <c r="G11" i="1"/>
  <c r="F11" i="1"/>
  <c r="E11" i="1"/>
  <c r="K10" i="1"/>
  <c r="J10" i="1"/>
  <c r="H10" i="1"/>
  <c r="G10" i="1"/>
  <c r="F10" i="1"/>
  <c r="E10" i="1"/>
  <c r="K9" i="1"/>
  <c r="J9" i="1"/>
  <c r="H9" i="1"/>
  <c r="G9" i="1"/>
  <c r="F9" i="1"/>
  <c r="E9" i="1"/>
  <c r="K8" i="1"/>
  <c r="J8" i="1"/>
  <c r="H8" i="1"/>
  <c r="G8" i="1"/>
  <c r="F8" i="1"/>
  <c r="E8" i="1"/>
  <c r="K7" i="1"/>
  <c r="J7" i="1"/>
  <c r="H7" i="1"/>
  <c r="G7" i="1"/>
  <c r="F7" i="1"/>
  <c r="E7" i="1"/>
  <c r="K6" i="1"/>
  <c r="J6" i="1"/>
  <c r="H6" i="1"/>
  <c r="G6" i="1"/>
  <c r="F6" i="1"/>
  <c r="E6" i="1"/>
  <c r="K5" i="1"/>
  <c r="J5" i="1"/>
  <c r="H5" i="1"/>
  <c r="G5" i="1"/>
  <c r="F5" i="1"/>
  <c r="E5" i="1"/>
  <c r="K4" i="1"/>
  <c r="J4" i="1"/>
  <c r="H4" i="1"/>
  <c r="G4" i="1"/>
  <c r="F4" i="1"/>
  <c r="E4" i="1"/>
  <c r="K3" i="1"/>
  <c r="J3" i="1"/>
  <c r="H3" i="1"/>
  <c r="G3" i="1"/>
  <c r="F3" i="1"/>
  <c r="E3" i="1"/>
  <c r="M2" i="1"/>
  <c r="D115" i="1" l="1"/>
  <c r="D36" i="1"/>
  <c r="D111" i="1"/>
  <c r="D45" i="1"/>
  <c r="D12" i="1"/>
  <c r="D121" i="1"/>
  <c r="D106" i="1"/>
  <c r="D91" i="1"/>
  <c r="D75" i="1"/>
  <c r="D59" i="1"/>
  <c r="D43" i="1"/>
  <c r="D27" i="1"/>
  <c r="D11" i="1"/>
  <c r="D120" i="1"/>
  <c r="D105" i="1"/>
  <c r="D89" i="1"/>
  <c r="D74" i="1"/>
  <c r="D58" i="1"/>
  <c r="D42" i="1"/>
  <c r="D26" i="1"/>
  <c r="D10" i="1"/>
  <c r="D129" i="1"/>
  <c r="D99" i="1"/>
  <c r="D84" i="1"/>
  <c r="D69" i="1"/>
  <c r="D53" i="1"/>
  <c r="D21" i="1"/>
  <c r="D52" i="1"/>
  <c r="D127" i="1"/>
  <c r="D112" i="1"/>
  <c r="D97" i="1"/>
  <c r="D82" i="1"/>
  <c r="D67" i="1"/>
  <c r="D51" i="1"/>
  <c r="D33" i="1"/>
  <c r="D17" i="1"/>
  <c r="D126" i="1"/>
  <c r="D96" i="1"/>
  <c r="D81" i="1"/>
  <c r="D66" i="1"/>
  <c r="D49" i="1"/>
  <c r="D32" i="1"/>
  <c r="D16" i="1"/>
  <c r="D125" i="1"/>
  <c r="D110" i="1"/>
  <c r="D95" i="1"/>
  <c r="D80" i="1"/>
  <c r="D64" i="1"/>
  <c r="D47" i="1"/>
  <c r="D31" i="1"/>
  <c r="D15" i="1"/>
  <c r="D124" i="1"/>
  <c r="D94" i="1"/>
  <c r="D79" i="1"/>
  <c r="D63" i="1"/>
  <c r="D46" i="1"/>
  <c r="D30" i="1"/>
  <c r="D29" i="1"/>
  <c r="D122" i="1"/>
  <c r="D92" i="1"/>
  <c r="D60" i="1"/>
  <c r="D28" i="1"/>
  <c r="D119" i="1"/>
  <c r="D88" i="1"/>
  <c r="D57" i="1"/>
  <c r="D9" i="1"/>
  <c r="D117" i="1"/>
  <c r="D102" i="1"/>
  <c r="D87" i="1"/>
  <c r="D72" i="1"/>
  <c r="D56" i="1"/>
  <c r="D40" i="1"/>
  <c r="D24" i="1"/>
  <c r="D8" i="1"/>
  <c r="D100" i="1"/>
  <c r="D85" i="1"/>
  <c r="D70" i="1"/>
  <c r="D54" i="1"/>
  <c r="D38" i="1"/>
  <c r="D22" i="1"/>
  <c r="D114" i="1"/>
  <c r="D37" i="1"/>
  <c r="D128" i="1"/>
  <c r="D113" i="1"/>
  <c r="D98" i="1"/>
  <c r="D83" i="1"/>
  <c r="D68" i="1"/>
  <c r="D18" i="1"/>
  <c r="D109" i="1"/>
  <c r="D14" i="1"/>
  <c r="D123" i="1"/>
  <c r="D108" i="1"/>
  <c r="D93" i="1"/>
  <c r="D78" i="1"/>
  <c r="D61" i="1"/>
  <c r="D13" i="1"/>
  <c r="D107" i="1"/>
  <c r="D77" i="1"/>
  <c r="D44" i="1"/>
  <c r="D103" i="1"/>
  <c r="D73" i="1"/>
  <c r="D41" i="1"/>
  <c r="D25" i="1"/>
  <c r="L45" i="1"/>
  <c r="D116" i="1"/>
  <c r="D101" i="1"/>
  <c r="D86" i="1"/>
  <c r="D71" i="1"/>
  <c r="D55" i="1"/>
  <c r="D39" i="1"/>
  <c r="D23" i="1"/>
  <c r="D6" i="1"/>
  <c r="D4" i="1"/>
  <c r="D65" i="1"/>
  <c r="D50" i="1"/>
  <c r="D35" i="1"/>
  <c r="D19" i="1"/>
  <c r="D3" i="1"/>
  <c r="L6" i="1"/>
  <c r="L20" i="1"/>
  <c r="L34" i="1"/>
  <c r="L105" i="1"/>
  <c r="D118" i="1"/>
  <c r="D104" i="1"/>
  <c r="D90" i="1"/>
  <c r="D76" i="1"/>
  <c r="D62" i="1"/>
  <c r="D48" i="1"/>
  <c r="D34" i="1"/>
  <c r="D20" i="1"/>
  <c r="L28" i="1"/>
  <c r="L13" i="1"/>
  <c r="L27" i="1"/>
  <c r="L29" i="1"/>
  <c r="L46" i="1"/>
  <c r="L9" i="1"/>
  <c r="L16" i="1"/>
  <c r="L23" i="1"/>
  <c r="L25" i="1"/>
  <c r="L30" i="1"/>
  <c r="L37" i="1"/>
  <c r="L39" i="1"/>
  <c r="L42" i="1"/>
  <c r="L54" i="1"/>
  <c r="L61" i="1"/>
  <c r="L68" i="1"/>
  <c r="L75" i="1"/>
  <c r="L82" i="1"/>
  <c r="L84" i="1"/>
  <c r="L89" i="1"/>
  <c r="L96" i="1"/>
  <c r="L98" i="1"/>
  <c r="L103" i="1"/>
  <c r="L108" i="1"/>
  <c r="L110" i="1"/>
  <c r="L115" i="1"/>
  <c r="L122" i="1"/>
  <c r="L124" i="1"/>
  <c r="L129" i="1"/>
  <c r="L120" i="1"/>
  <c r="L106" i="1"/>
  <c r="L7" i="1"/>
  <c r="L35" i="1"/>
  <c r="L94" i="1"/>
  <c r="L113" i="1"/>
  <c r="L14" i="1"/>
  <c r="L52" i="1"/>
  <c r="L66" i="1"/>
  <c r="L127" i="1"/>
  <c r="L59" i="1"/>
  <c r="L73" i="1"/>
  <c r="L15" i="1"/>
  <c r="L48" i="1"/>
  <c r="L70" i="1"/>
  <c r="L51" i="1"/>
  <c r="L65" i="1"/>
  <c r="L79" i="1"/>
  <c r="L93" i="1"/>
  <c r="L112" i="1"/>
  <c r="L119" i="1"/>
  <c r="L126" i="1"/>
  <c r="L41" i="1"/>
  <c r="L11" i="1"/>
  <c r="L56" i="1"/>
  <c r="L21" i="1"/>
  <c r="L80" i="1"/>
  <c r="L87" i="1"/>
  <c r="L101" i="1"/>
  <c r="L3" i="1"/>
  <c r="L10" i="1"/>
  <c r="L17" i="1"/>
  <c r="L24" i="1"/>
  <c r="L31" i="1"/>
  <c r="L38" i="1"/>
  <c r="L43" i="1"/>
  <c r="L55" i="1"/>
  <c r="L62" i="1"/>
  <c r="L69" i="1"/>
  <c r="L76" i="1"/>
  <c r="L83" i="1"/>
  <c r="L90" i="1"/>
  <c r="L97" i="1"/>
  <c r="L109" i="1"/>
  <c r="L123" i="1"/>
  <c r="L5" i="1"/>
  <c r="L19" i="1"/>
  <c r="L33" i="1"/>
  <c r="L12" i="1"/>
  <c r="L40" i="1"/>
  <c r="L50" i="1"/>
  <c r="L57" i="1"/>
  <c r="L64" i="1"/>
  <c r="L71" i="1"/>
  <c r="L78" i="1"/>
  <c r="L85" i="1"/>
  <c r="L92" i="1"/>
  <c r="L99" i="1"/>
  <c r="L104" i="1"/>
  <c r="L111" i="1"/>
  <c r="L116" i="1"/>
  <c r="L118" i="1"/>
  <c r="L125" i="1"/>
  <c r="L26" i="1"/>
  <c r="L8" i="1"/>
  <c r="L22" i="1"/>
  <c r="L36" i="1"/>
  <c r="L53" i="1"/>
  <c r="L60" i="1"/>
  <c r="L67" i="1"/>
  <c r="L74" i="1"/>
  <c r="L81" i="1"/>
  <c r="L88" i="1"/>
  <c r="L95" i="1"/>
  <c r="L102" i="1"/>
  <c r="L107" i="1"/>
  <c r="L114" i="1"/>
  <c r="L121" i="1"/>
  <c r="L128" i="1"/>
  <c r="M15" i="1"/>
  <c r="M29" i="1"/>
  <c r="M107" i="1"/>
  <c r="M114" i="1"/>
  <c r="M121" i="1"/>
  <c r="M128" i="1"/>
  <c r="L58" i="1"/>
  <c r="L86" i="1"/>
  <c r="L100" i="1"/>
  <c r="L4" i="1"/>
  <c r="L18" i="1"/>
  <c r="L32" i="1"/>
  <c r="L44" i="1"/>
  <c r="L49" i="1"/>
  <c r="L63" i="1"/>
  <c r="L77" i="1"/>
  <c r="L91" i="1"/>
  <c r="L117" i="1"/>
  <c r="L72" i="1"/>
  <c r="L47" i="1"/>
  <c r="M45" i="1"/>
  <c r="M54" i="1"/>
  <c r="M68" i="1"/>
  <c r="M82" i="1"/>
  <c r="M8" i="1"/>
  <c r="M22" i="1"/>
  <c r="M36" i="1"/>
  <c r="M61" i="1"/>
  <c r="M75" i="1"/>
  <c r="M91" i="1"/>
  <c r="M97" i="1"/>
  <c r="M9" i="1"/>
  <c r="M16" i="1"/>
  <c r="M23" i="1"/>
  <c r="M30" i="1"/>
  <c r="M37" i="1"/>
  <c r="M46" i="1"/>
  <c r="M55" i="1"/>
  <c r="M62" i="1"/>
  <c r="M69" i="1"/>
  <c r="M76" i="1"/>
  <c r="M83" i="1"/>
  <c r="M108" i="1"/>
  <c r="M115" i="1"/>
  <c r="M122" i="1"/>
  <c r="M129" i="1"/>
  <c r="M4" i="1"/>
  <c r="M11" i="1"/>
  <c r="M18" i="1"/>
  <c r="M25" i="1"/>
  <c r="M32" i="1"/>
  <c r="M39" i="1"/>
  <c r="M50" i="1"/>
  <c r="M57" i="1"/>
  <c r="M64" i="1"/>
  <c r="M71" i="1"/>
  <c r="M78" i="1"/>
  <c r="M110" i="1"/>
  <c r="M117" i="1"/>
  <c r="M124" i="1"/>
  <c r="M41" i="1"/>
  <c r="M73" i="1"/>
  <c r="M80" i="1"/>
  <c r="M112" i="1"/>
  <c r="M126" i="1"/>
  <c r="M6" i="1"/>
  <c r="M13" i="1"/>
  <c r="M20" i="1"/>
  <c r="M27" i="1"/>
  <c r="M34" i="1"/>
  <c r="M43" i="1"/>
  <c r="M52" i="1"/>
  <c r="M59" i="1"/>
  <c r="M66" i="1"/>
  <c r="M103" i="1"/>
  <c r="M119" i="1"/>
  <c r="M89" i="1"/>
  <c r="M105" i="1"/>
  <c r="M3" i="1"/>
  <c r="M10" i="1"/>
  <c r="M17" i="1"/>
  <c r="M24" i="1"/>
  <c r="M31" i="1"/>
  <c r="M38" i="1"/>
  <c r="M47" i="1"/>
  <c r="M49" i="1"/>
  <c r="M56" i="1"/>
  <c r="M63" i="1"/>
  <c r="M70" i="1"/>
  <c r="M77" i="1"/>
  <c r="M109" i="1"/>
  <c r="M116" i="1"/>
  <c r="M123" i="1"/>
  <c r="M93" i="1"/>
  <c r="M5" i="1"/>
  <c r="M12" i="1"/>
  <c r="M19" i="1"/>
  <c r="M26" i="1"/>
  <c r="M33" i="1"/>
  <c r="M40" i="1"/>
  <c r="M42" i="1"/>
  <c r="M51" i="1"/>
  <c r="M58" i="1"/>
  <c r="M65" i="1"/>
  <c r="M72" i="1"/>
  <c r="M79" i="1"/>
  <c r="M111" i="1"/>
  <c r="M118" i="1"/>
  <c r="M125" i="1"/>
  <c r="M95" i="1"/>
  <c r="M7" i="1"/>
  <c r="M14" i="1"/>
  <c r="M21" i="1"/>
  <c r="M28" i="1"/>
  <c r="M35" i="1"/>
  <c r="M44" i="1"/>
  <c r="M53" i="1"/>
  <c r="M60" i="1"/>
  <c r="M67" i="1"/>
  <c r="M74" i="1"/>
  <c r="M81" i="1"/>
  <c r="M113" i="1"/>
  <c r="M120" i="1"/>
  <c r="M127" i="1"/>
  <c r="M85" i="1"/>
  <c r="M99" i="1"/>
  <c r="M87" i="1"/>
  <c r="M101" i="1"/>
  <c r="N2" i="1"/>
  <c r="M48" i="1"/>
  <c r="M84" i="1"/>
  <c r="M86" i="1"/>
  <c r="M88" i="1"/>
  <c r="M90" i="1"/>
  <c r="M92" i="1"/>
  <c r="M94" i="1"/>
  <c r="M96" i="1"/>
  <c r="M98" i="1"/>
  <c r="M100" i="1"/>
  <c r="M102" i="1"/>
  <c r="M104" i="1"/>
  <c r="M106" i="1"/>
  <c r="N62" i="1" l="1"/>
  <c r="N81" i="1"/>
  <c r="N46" i="1"/>
  <c r="N15" i="1"/>
  <c r="N49" i="1"/>
  <c r="N71" i="1"/>
  <c r="N28" i="1"/>
  <c r="N7" i="1"/>
  <c r="N116" i="1"/>
  <c r="N79" i="1"/>
  <c r="N57" i="1"/>
  <c r="N69" i="1"/>
  <c r="N36" i="1"/>
  <c r="N10" i="1"/>
  <c r="N91" i="1"/>
  <c r="N8" i="1"/>
  <c r="N24" i="1"/>
  <c r="N109" i="1"/>
  <c r="N122" i="1"/>
  <c r="N108" i="1"/>
  <c r="N25" i="1"/>
  <c r="N111" i="1"/>
  <c r="N76" i="1"/>
  <c r="N123" i="1"/>
  <c r="N77" i="1"/>
  <c r="N83" i="1"/>
  <c r="N75" i="1"/>
  <c r="N61" i="1"/>
  <c r="N73" i="1"/>
  <c r="N37" i="1"/>
  <c r="N124" i="1"/>
  <c r="N11" i="1"/>
  <c r="N9" i="1"/>
  <c r="N121" i="1"/>
  <c r="N107" i="1"/>
  <c r="N115" i="1"/>
  <c r="N30" i="1"/>
  <c r="N23" i="1"/>
  <c r="N129" i="1"/>
  <c r="N34" i="1"/>
  <c r="N70" i="1"/>
  <c r="N16" i="1"/>
  <c r="N98" i="1"/>
  <c r="N78" i="1"/>
  <c r="N55" i="1"/>
  <c r="N35" i="1"/>
  <c r="N87" i="1"/>
  <c r="N114" i="1"/>
  <c r="N51" i="1"/>
  <c r="N20" i="1"/>
  <c r="N72" i="1"/>
  <c r="N27" i="1"/>
  <c r="N85" i="1"/>
  <c r="N112" i="1"/>
  <c r="N117" i="1"/>
  <c r="N60" i="1"/>
  <c r="N84" i="1"/>
  <c r="N58" i="1"/>
  <c r="N6" i="1"/>
  <c r="N4" i="1"/>
  <c r="N39" i="1"/>
  <c r="N110" i="1"/>
  <c r="N65" i="1"/>
  <c r="N13" i="1"/>
  <c r="N119" i="1"/>
  <c r="N44" i="1"/>
  <c r="N31" i="1"/>
  <c r="N74" i="1"/>
  <c r="N29" i="1"/>
  <c r="N47" i="1"/>
  <c r="N40" i="1"/>
  <c r="N42" i="1"/>
  <c r="N48" i="1"/>
  <c r="N50" i="1"/>
  <c r="N5" i="1"/>
  <c r="N19" i="1"/>
  <c r="N54" i="1"/>
  <c r="N99" i="1"/>
  <c r="N125" i="1"/>
  <c r="N22" i="1"/>
  <c r="N67" i="1"/>
  <c r="N126" i="1"/>
  <c r="N21" i="1"/>
  <c r="N82" i="1"/>
  <c r="N92" i="1"/>
  <c r="N128" i="1"/>
  <c r="N17" i="1"/>
  <c r="N52" i="1"/>
  <c r="N80" i="1"/>
  <c r="N64" i="1"/>
  <c r="N120" i="1"/>
  <c r="N33" i="1"/>
  <c r="N68" i="1"/>
  <c r="N66" i="1"/>
  <c r="N45" i="1"/>
  <c r="N63" i="1"/>
  <c r="N106" i="1"/>
  <c r="N14" i="1"/>
  <c r="N56" i="1"/>
  <c r="N105" i="1"/>
  <c r="N104" i="1"/>
  <c r="N90" i="1"/>
  <c r="N3" i="1"/>
  <c r="N18" i="1"/>
  <c r="N32" i="1"/>
  <c r="N53" i="1"/>
  <c r="N113" i="1"/>
  <c r="N118" i="1"/>
  <c r="N12" i="1"/>
  <c r="N26" i="1"/>
  <c r="N38" i="1"/>
  <c r="N59" i="1"/>
  <c r="N43" i="1"/>
  <c r="N127" i="1"/>
  <c r="N101" i="1"/>
  <c r="N97" i="1"/>
  <c r="N100" i="1"/>
  <c r="N95" i="1"/>
  <c r="N93" i="1"/>
  <c r="N41" i="1"/>
  <c r="N89" i="1"/>
  <c r="N103" i="1"/>
  <c r="N96" i="1"/>
  <c r="N88" i="1"/>
  <c r="N102" i="1"/>
  <c r="N94" i="1"/>
  <c r="N86" i="1"/>
</calcChain>
</file>

<file path=xl/sharedStrings.xml><?xml version="1.0" encoding="utf-8"?>
<sst xmlns="http://schemas.openxmlformats.org/spreadsheetml/2006/main" count="128" uniqueCount="120">
  <si>
    <t>Part Number</t>
  </si>
  <si>
    <t>Weight</t>
  </si>
  <si>
    <t>Current Price</t>
  </si>
  <si>
    <r>
      <t>PPI</t>
    </r>
    <r>
      <rPr>
        <vertAlign val="subscript"/>
        <sz val="11"/>
        <color theme="1"/>
        <rFont val="Calibri"/>
        <family val="2"/>
        <scheme val="minor"/>
      </rPr>
      <t xml:space="preserve">Factor
</t>
    </r>
    <r>
      <rPr>
        <sz val="11"/>
        <color theme="1"/>
        <rFont val="Calibri"/>
        <family val="2"/>
        <scheme val="minor"/>
      </rPr>
      <t>(PPI</t>
    </r>
    <r>
      <rPr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-PPI</t>
    </r>
    <r>
      <rPr>
        <vertAlign val="subscript"/>
        <sz val="11"/>
        <color theme="1"/>
        <rFont val="Calibri"/>
        <family val="2"/>
        <scheme val="minor"/>
      </rPr>
      <t>Q-1</t>
    </r>
    <r>
      <rPr>
        <sz val="11"/>
        <color theme="1"/>
        <rFont val="Calibri"/>
        <family val="2"/>
        <scheme val="minor"/>
      </rPr>
      <t>)/PPI</t>
    </r>
    <r>
      <rPr>
        <vertAlign val="subscript"/>
        <sz val="11"/>
        <color theme="1"/>
        <rFont val="Calibri"/>
        <family val="2"/>
        <scheme val="minor"/>
      </rPr>
      <t>Q-1</t>
    </r>
  </si>
  <si>
    <r>
      <rPr>
        <sz val="11"/>
        <color rgb="FF000000"/>
        <rFont val="Calibri"/>
        <scheme val="minor"/>
      </rPr>
      <t>DF</t>
    </r>
    <r>
      <rPr>
        <vertAlign val="subscript"/>
        <sz val="11"/>
        <color rgb="FF000000"/>
        <rFont val="Calibri"/>
        <scheme val="minor"/>
      </rPr>
      <t xml:space="preserve">c 
</t>
    </r>
    <r>
      <rPr>
        <sz val="11"/>
        <color rgb="FF000000"/>
        <rFont val="Calibri"/>
        <scheme val="minor"/>
      </rPr>
      <t>Drauss Factor Constant (1.44)</t>
    </r>
  </si>
  <si>
    <t>AMSQ
Olson Aluminum Weight Adjustment Factor ($/lb) for the current quarter</t>
  </si>
  <si>
    <r>
      <t>AMS</t>
    </r>
    <r>
      <rPr>
        <vertAlign val="subscript"/>
        <sz val="11"/>
        <color theme="1"/>
        <rFont val="Calibri"/>
        <family val="2"/>
        <scheme val="minor"/>
      </rPr>
      <t>Q-1</t>
    </r>
    <r>
      <rPr>
        <sz val="11"/>
        <color theme="1"/>
        <rFont val="Calibri"/>
        <family val="2"/>
        <scheme val="minor"/>
      </rPr>
      <t xml:space="preserve">
Olson Aluminum Weight Adjustment Factor ($/lb) for the previous quarter</t>
    </r>
  </si>
  <si>
    <t>New Price</t>
  </si>
  <si>
    <t>09-0052-003</t>
  </si>
  <si>
    <t>10-003-293</t>
  </si>
  <si>
    <t>1224-1076</t>
  </si>
  <si>
    <t>1224-1077</t>
  </si>
  <si>
    <t>2190-1015</t>
  </si>
  <si>
    <t>2190-1219</t>
  </si>
  <si>
    <t>2190-1263</t>
  </si>
  <si>
    <t>2190-1287</t>
  </si>
  <si>
    <t>2190-1292</t>
  </si>
  <si>
    <t>2190-1300</t>
  </si>
  <si>
    <t>2190-1434</t>
  </si>
  <si>
    <t>2190-1662</t>
  </si>
  <si>
    <t>2190-1728</t>
  </si>
  <si>
    <t>2190-1729</t>
  </si>
  <si>
    <t>221136</t>
  </si>
  <si>
    <t>221227</t>
  </si>
  <si>
    <t>221229</t>
  </si>
  <si>
    <t>221704</t>
  </si>
  <si>
    <t>2389-057</t>
  </si>
  <si>
    <t>2389-063</t>
  </si>
  <si>
    <t>2415-529</t>
  </si>
  <si>
    <t>2426-539</t>
  </si>
  <si>
    <t>2428-015</t>
  </si>
  <si>
    <t>2488-037</t>
  </si>
  <si>
    <t>2489-067</t>
  </si>
  <si>
    <t>2489-089</t>
  </si>
  <si>
    <t>2508-723</t>
  </si>
  <si>
    <t>2510-027</t>
  </si>
  <si>
    <t>2513-301</t>
  </si>
  <si>
    <t>2513-302</t>
  </si>
  <si>
    <t>2525-015</t>
  </si>
  <si>
    <t>2526-707</t>
  </si>
  <si>
    <t>2529-023</t>
  </si>
  <si>
    <t>2529-031</t>
  </si>
  <si>
    <t>2529-033</t>
  </si>
  <si>
    <t>2529-039</t>
  </si>
  <si>
    <t>2548-023</t>
  </si>
  <si>
    <t>2563-016</t>
  </si>
  <si>
    <t>2568-019</t>
  </si>
  <si>
    <t>2582-025</t>
  </si>
  <si>
    <t>2582-027</t>
  </si>
  <si>
    <t>2582-029</t>
  </si>
  <si>
    <t>2582-043</t>
  </si>
  <si>
    <t>2603-309</t>
  </si>
  <si>
    <t>2603-313</t>
  </si>
  <si>
    <t>2605-001</t>
  </si>
  <si>
    <t>2605-003</t>
  </si>
  <si>
    <t>2613-108</t>
  </si>
  <si>
    <t>2627-010</t>
  </si>
  <si>
    <t>2628-015</t>
  </si>
  <si>
    <t>2629-021</t>
  </si>
  <si>
    <t>2629-023</t>
  </si>
  <si>
    <t>3550-1873</t>
  </si>
  <si>
    <t>3550-1874</t>
  </si>
  <si>
    <t>3550-1981</t>
  </si>
  <si>
    <t>3550-2207</t>
  </si>
  <si>
    <t>3600-2640</t>
  </si>
  <si>
    <t>3600-2978</t>
  </si>
  <si>
    <t>4034-1000</t>
  </si>
  <si>
    <t>4034-1003</t>
  </si>
  <si>
    <t>4034-1463</t>
  </si>
  <si>
    <t>4034-1486 Rev.A</t>
  </si>
  <si>
    <t>4034-1569</t>
  </si>
  <si>
    <t>4034-2065</t>
  </si>
  <si>
    <t>4034-2201</t>
  </si>
  <si>
    <t>4034-2202</t>
  </si>
  <si>
    <t>4034-2306</t>
  </si>
  <si>
    <t>4034-2509</t>
  </si>
  <si>
    <t>4034-2621</t>
  </si>
  <si>
    <t>4034-2632</t>
  </si>
  <si>
    <t>4166-845</t>
  </si>
  <si>
    <t>2415-537</t>
  </si>
  <si>
    <t>2403-719</t>
  </si>
  <si>
    <t>2489-073</t>
  </si>
  <si>
    <t>2503-729</t>
  </si>
  <si>
    <t>2190-1205</t>
  </si>
  <si>
    <t>2190-1206</t>
  </si>
  <si>
    <t>2389-027</t>
  </si>
  <si>
    <t>2403-112</t>
  </si>
  <si>
    <t>2403-761</t>
  </si>
  <si>
    <t>2489-017</t>
  </si>
  <si>
    <t>2489-061</t>
  </si>
  <si>
    <t>2489-069</t>
  </si>
  <si>
    <t>2503-720</t>
  </si>
  <si>
    <t>2563-018</t>
  </si>
  <si>
    <t>2582-023</t>
  </si>
  <si>
    <t>2190-1303</t>
  </si>
  <si>
    <t>2503-737</t>
  </si>
  <si>
    <t>2600-004</t>
  </si>
  <si>
    <t>DYNC 1192-900</t>
  </si>
  <si>
    <t>2190-1125</t>
  </si>
  <si>
    <t>2190-1236</t>
  </si>
  <si>
    <t>2190-1316</t>
  </si>
  <si>
    <t>2415-531</t>
  </si>
  <si>
    <t>2448-057</t>
  </si>
  <si>
    <t>2525-031</t>
  </si>
  <si>
    <t>2626-004</t>
  </si>
  <si>
    <t>2190-1444</t>
  </si>
  <si>
    <t>2190-1699</t>
  </si>
  <si>
    <t>2389-051</t>
  </si>
  <si>
    <t>2190-1302</t>
  </si>
  <si>
    <t>2190-1077</t>
  </si>
  <si>
    <t>2190-1641</t>
  </si>
  <si>
    <t>2190-1642</t>
  </si>
  <si>
    <t>2190-1405</t>
  </si>
  <si>
    <t>2190-1479</t>
  </si>
  <si>
    <t>PPI_Q</t>
  </si>
  <si>
    <t>PPI_Q-1</t>
  </si>
  <si>
    <t>MC_Q</t>
  </si>
  <si>
    <t>MC_Q-1</t>
  </si>
  <si>
    <t>CNG_Q</t>
  </si>
  <si>
    <t>CNG_Q-1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</si>
</sst>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vertAlign val="subscript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44" fontId="0" fillId="4" borderId="1" xfId="1" applyFont="1" applyFill="1" applyBorder="1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44" fontId="0" fillId="0" borderId="0" xfId="0" applyNumberFormat="1"/>
    <xf numFmtId="4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indent="5"/>
    </xf>
    <xf numFmtId="44" fontId="0" fillId="0" borderId="0" xfId="1" applyFont="1"/>
    <xf numFmtId="0" fontId="5" fillId="3" borderId="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65A3-82A6-40D3-BA57-F6D5B62FCC86}">
  <dimension ref="A1:P129"/>
  <sheetViews>
    <sheetView tabSelected="1" workbookViewId="0">
      <selection activeCell="E8" sqref="E8"/>
    </sheetView>
  </sheetViews>
  <sheetFormatPr defaultRowHeight="15" customHeight="1" x14ac:dyDescent="0.35"/>
  <cols>
    <col min="1" max="1" width="22.81640625" bestFit="1" customWidth="1"/>
    <col min="3" max="3" width="14.81640625" customWidth="1"/>
    <col min="4" max="4" width="18.7265625" customWidth="1"/>
    <col min="5" max="5" width="14.81640625" customWidth="1"/>
    <col min="6" max="6" width="14.453125" customWidth="1"/>
    <col min="7" max="7" width="12" style="16" customWidth="1"/>
    <col min="8" max="8" width="11.54296875" style="16" customWidth="1"/>
    <col min="9" max="9" width="11.54296875" customWidth="1"/>
    <col min="10" max="10" width="10.1796875" customWidth="1"/>
    <col min="12" max="12" width="15.453125" style="16" customWidth="1"/>
    <col min="13" max="13" width="16.1796875" style="16" customWidth="1"/>
    <col min="14" max="14" width="12.453125" style="16" customWidth="1"/>
    <col min="16" max="16" width="14.453125" customWidth="1"/>
  </cols>
  <sheetData>
    <row r="1" spans="1:16" ht="102.5" x14ac:dyDescent="0.45">
      <c r="A1" s="1" t="s">
        <v>0</v>
      </c>
      <c r="B1" s="1" t="s">
        <v>1</v>
      </c>
      <c r="C1" s="2" t="s">
        <v>2</v>
      </c>
      <c r="D1" s="3" t="s">
        <v>3</v>
      </c>
      <c r="E1" s="4" t="s">
        <v>114</v>
      </c>
      <c r="F1" s="4" t="s">
        <v>115</v>
      </c>
      <c r="G1" s="5" t="s">
        <v>116</v>
      </c>
      <c r="H1" s="5" t="s">
        <v>117</v>
      </c>
      <c r="I1" s="17" t="s">
        <v>4</v>
      </c>
      <c r="J1" s="4" t="s">
        <v>118</v>
      </c>
      <c r="K1" s="4" t="s">
        <v>119</v>
      </c>
      <c r="L1" s="6" t="s">
        <v>5</v>
      </c>
      <c r="M1" s="6" t="s">
        <v>6</v>
      </c>
      <c r="N1" s="6" t="s">
        <v>7</v>
      </c>
      <c r="O1" s="7"/>
      <c r="P1" s="7"/>
    </row>
    <row r="2" spans="1:16" ht="14.5" x14ac:dyDescent="0.35">
      <c r="A2" s="8" t="s">
        <v>8</v>
      </c>
      <c r="B2" s="8">
        <v>3.6</v>
      </c>
      <c r="C2" s="9">
        <v>47.089999999999996</v>
      </c>
      <c r="D2" s="10">
        <f>ROUNDUP(((E2-F2)/F2),3)</f>
        <v>6.6000000000000003E-2</v>
      </c>
      <c r="E2" s="8">
        <v>281.07</v>
      </c>
      <c r="F2" s="8">
        <v>263.8</v>
      </c>
      <c r="G2" s="11">
        <v>3.26</v>
      </c>
      <c r="H2" s="11">
        <v>2.9</v>
      </c>
      <c r="I2" s="8">
        <v>1.44</v>
      </c>
      <c r="J2" s="11">
        <v>0.97199999999999998</v>
      </c>
      <c r="K2" s="11">
        <v>0.72</v>
      </c>
      <c r="L2" s="12">
        <f t="shared" ref="L2:L33" si="0">ROUNDUP(((G2*I2)+J2),2)</f>
        <v>5.67</v>
      </c>
      <c r="M2" s="12">
        <f t="shared" ref="M2:M33" si="1">ROUNDUP(((H2*I2)+K2),2)</f>
        <v>4.8999999999999995</v>
      </c>
      <c r="N2" s="12">
        <f t="shared" ref="N2:N33" si="2">ROUNDUP((C2+((L2-M2)*B2)+(D2*C2)),2)</f>
        <v>52.97</v>
      </c>
      <c r="P2" s="13"/>
    </row>
    <row r="3" spans="1:16" ht="14.5" x14ac:dyDescent="0.35">
      <c r="A3" s="8" t="s">
        <v>9</v>
      </c>
      <c r="B3" s="8">
        <v>16.25</v>
      </c>
      <c r="C3" s="9">
        <v>409.81</v>
      </c>
      <c r="D3" s="10">
        <f t="shared" ref="D3:K19" si="3">D$2</f>
        <v>6.6000000000000003E-2</v>
      </c>
      <c r="E3" s="8">
        <f t="shared" si="3"/>
        <v>281.07</v>
      </c>
      <c r="F3" s="8">
        <f t="shared" si="3"/>
        <v>263.8</v>
      </c>
      <c r="G3" s="11">
        <f t="shared" si="3"/>
        <v>3.26</v>
      </c>
      <c r="H3" s="11">
        <f t="shared" si="3"/>
        <v>2.9</v>
      </c>
      <c r="I3" s="8">
        <f t="shared" si="3"/>
        <v>1.44</v>
      </c>
      <c r="J3" s="11">
        <f t="shared" si="3"/>
        <v>0.97199999999999998</v>
      </c>
      <c r="K3" s="11">
        <f t="shared" si="3"/>
        <v>0.72</v>
      </c>
      <c r="L3" s="12">
        <f t="shared" si="0"/>
        <v>5.67</v>
      </c>
      <c r="M3" s="12">
        <f t="shared" si="1"/>
        <v>4.8999999999999995</v>
      </c>
      <c r="N3" s="12">
        <f t="shared" si="2"/>
        <v>449.37</v>
      </c>
      <c r="P3" s="13"/>
    </row>
    <row r="4" spans="1:16" ht="14.5" x14ac:dyDescent="0.35">
      <c r="A4" s="8" t="s">
        <v>10</v>
      </c>
      <c r="B4" s="8">
        <v>33</v>
      </c>
      <c r="C4" s="9">
        <v>1233.07</v>
      </c>
      <c r="D4" s="10">
        <f t="shared" si="3"/>
        <v>6.6000000000000003E-2</v>
      </c>
      <c r="E4" s="8">
        <f t="shared" si="3"/>
        <v>281.07</v>
      </c>
      <c r="F4" s="8">
        <f t="shared" si="3"/>
        <v>263.8</v>
      </c>
      <c r="G4" s="11">
        <f t="shared" si="3"/>
        <v>3.26</v>
      </c>
      <c r="H4" s="11">
        <f t="shared" si="3"/>
        <v>2.9</v>
      </c>
      <c r="I4" s="8">
        <f t="shared" si="3"/>
        <v>1.44</v>
      </c>
      <c r="J4" s="11">
        <f t="shared" si="3"/>
        <v>0.97199999999999998</v>
      </c>
      <c r="K4" s="11">
        <f t="shared" si="3"/>
        <v>0.72</v>
      </c>
      <c r="L4" s="12">
        <f t="shared" si="0"/>
        <v>5.67</v>
      </c>
      <c r="M4" s="12">
        <f t="shared" si="1"/>
        <v>4.8999999999999995</v>
      </c>
      <c r="N4" s="12">
        <f t="shared" si="2"/>
        <v>1339.87</v>
      </c>
      <c r="P4" s="13"/>
    </row>
    <row r="5" spans="1:16" ht="14.5" x14ac:dyDescent="0.35">
      <c r="A5" s="8" t="s">
        <v>11</v>
      </c>
      <c r="B5" s="8">
        <v>37</v>
      </c>
      <c r="C5" s="9">
        <v>1528.92</v>
      </c>
      <c r="D5" s="10">
        <f t="shared" si="3"/>
        <v>6.6000000000000003E-2</v>
      </c>
      <c r="E5" s="8">
        <f t="shared" si="3"/>
        <v>281.07</v>
      </c>
      <c r="F5" s="8">
        <f t="shared" si="3"/>
        <v>263.8</v>
      </c>
      <c r="G5" s="11">
        <f t="shared" si="3"/>
        <v>3.26</v>
      </c>
      <c r="H5" s="11">
        <f t="shared" si="3"/>
        <v>2.9</v>
      </c>
      <c r="I5" s="8">
        <f t="shared" si="3"/>
        <v>1.44</v>
      </c>
      <c r="J5" s="11">
        <f t="shared" si="3"/>
        <v>0.97199999999999998</v>
      </c>
      <c r="K5" s="11">
        <f t="shared" si="3"/>
        <v>0.72</v>
      </c>
      <c r="L5" s="12">
        <f t="shared" si="0"/>
        <v>5.67</v>
      </c>
      <c r="M5" s="12">
        <f t="shared" si="1"/>
        <v>4.8999999999999995</v>
      </c>
      <c r="N5" s="12">
        <f t="shared" si="2"/>
        <v>1658.32</v>
      </c>
      <c r="P5" s="13"/>
    </row>
    <row r="6" spans="1:16" ht="14.5" x14ac:dyDescent="0.35">
      <c r="A6" s="8" t="s">
        <v>12</v>
      </c>
      <c r="B6" s="8">
        <v>7</v>
      </c>
      <c r="C6" s="9">
        <v>89.97</v>
      </c>
      <c r="D6" s="10">
        <f t="shared" si="3"/>
        <v>6.6000000000000003E-2</v>
      </c>
      <c r="E6" s="8">
        <f t="shared" si="3"/>
        <v>281.07</v>
      </c>
      <c r="F6" s="8">
        <f t="shared" si="3"/>
        <v>263.8</v>
      </c>
      <c r="G6" s="11">
        <f t="shared" si="3"/>
        <v>3.26</v>
      </c>
      <c r="H6" s="11">
        <f t="shared" si="3"/>
        <v>2.9</v>
      </c>
      <c r="I6" s="8">
        <f t="shared" si="3"/>
        <v>1.44</v>
      </c>
      <c r="J6" s="11">
        <f t="shared" si="3"/>
        <v>0.97199999999999998</v>
      </c>
      <c r="K6" s="11">
        <f t="shared" si="3"/>
        <v>0.72</v>
      </c>
      <c r="L6" s="12">
        <f t="shared" si="0"/>
        <v>5.67</v>
      </c>
      <c r="M6" s="12">
        <f t="shared" si="1"/>
        <v>4.8999999999999995</v>
      </c>
      <c r="N6" s="12">
        <f t="shared" si="2"/>
        <v>101.30000000000001</v>
      </c>
      <c r="P6" s="13"/>
    </row>
    <row r="7" spans="1:16" ht="14.5" x14ac:dyDescent="0.35">
      <c r="A7" s="8" t="s">
        <v>13</v>
      </c>
      <c r="B7" s="8">
        <v>6.34</v>
      </c>
      <c r="C7" s="9">
        <v>101.67</v>
      </c>
      <c r="D7" s="10">
        <v>7</v>
      </c>
      <c r="E7" s="8">
        <f t="shared" si="3"/>
        <v>281.07</v>
      </c>
      <c r="F7" s="8">
        <f t="shared" si="3"/>
        <v>263.8</v>
      </c>
      <c r="G7" s="11">
        <f t="shared" si="3"/>
        <v>3.26</v>
      </c>
      <c r="H7" s="11">
        <f t="shared" si="3"/>
        <v>2.9</v>
      </c>
      <c r="I7" s="8">
        <f t="shared" si="3"/>
        <v>1.44</v>
      </c>
      <c r="J7" s="11">
        <f t="shared" si="3"/>
        <v>0.97199999999999998</v>
      </c>
      <c r="K7" s="11">
        <f t="shared" si="3"/>
        <v>0.72</v>
      </c>
      <c r="L7" s="12">
        <f t="shared" si="0"/>
        <v>5.67</v>
      </c>
      <c r="M7" s="12">
        <f t="shared" si="1"/>
        <v>4.8999999999999995</v>
      </c>
      <c r="N7" s="12">
        <f t="shared" si="2"/>
        <v>818.25</v>
      </c>
      <c r="P7" s="13"/>
    </row>
    <row r="8" spans="1:16" ht="14.5" x14ac:dyDescent="0.35">
      <c r="A8" s="8" t="s">
        <v>14</v>
      </c>
      <c r="B8" s="8">
        <v>60</v>
      </c>
      <c r="C8" s="9">
        <v>936.81</v>
      </c>
      <c r="D8" s="10">
        <f t="shared" si="3"/>
        <v>6.6000000000000003E-2</v>
      </c>
      <c r="E8" s="8">
        <f t="shared" si="3"/>
        <v>281.07</v>
      </c>
      <c r="F8" s="8">
        <f t="shared" si="3"/>
        <v>263.8</v>
      </c>
      <c r="G8" s="11">
        <f t="shared" si="3"/>
        <v>3.26</v>
      </c>
      <c r="H8" s="11">
        <f t="shared" si="3"/>
        <v>2.9</v>
      </c>
      <c r="I8" s="8">
        <f t="shared" si="3"/>
        <v>1.44</v>
      </c>
      <c r="J8" s="11">
        <f t="shared" si="3"/>
        <v>0.97199999999999998</v>
      </c>
      <c r="K8" s="11">
        <f t="shared" si="3"/>
        <v>0.72</v>
      </c>
      <c r="L8" s="12">
        <f t="shared" si="0"/>
        <v>5.67</v>
      </c>
      <c r="M8" s="12">
        <f t="shared" si="1"/>
        <v>4.8999999999999995</v>
      </c>
      <c r="N8" s="12">
        <f t="shared" si="2"/>
        <v>1044.8399999999999</v>
      </c>
      <c r="P8" s="13"/>
    </row>
    <row r="9" spans="1:16" ht="14.5" x14ac:dyDescent="0.35">
      <c r="A9" s="8" t="s">
        <v>15</v>
      </c>
      <c r="B9" s="8">
        <v>3.9</v>
      </c>
      <c r="C9" s="9">
        <v>59.169999999999995</v>
      </c>
      <c r="D9" s="10">
        <f t="shared" si="3"/>
        <v>6.6000000000000003E-2</v>
      </c>
      <c r="E9" s="8">
        <f t="shared" si="3"/>
        <v>281.07</v>
      </c>
      <c r="F9" s="8">
        <f t="shared" si="3"/>
        <v>263.8</v>
      </c>
      <c r="G9" s="11">
        <f t="shared" si="3"/>
        <v>3.26</v>
      </c>
      <c r="H9" s="11">
        <f t="shared" si="3"/>
        <v>2.9</v>
      </c>
      <c r="I9" s="8">
        <f t="shared" si="3"/>
        <v>1.44</v>
      </c>
      <c r="J9" s="11">
        <f t="shared" si="3"/>
        <v>0.97199999999999998</v>
      </c>
      <c r="K9" s="11">
        <f t="shared" si="3"/>
        <v>0.72</v>
      </c>
      <c r="L9" s="12">
        <f t="shared" si="0"/>
        <v>5.67</v>
      </c>
      <c r="M9" s="12">
        <f t="shared" si="1"/>
        <v>4.8999999999999995</v>
      </c>
      <c r="N9" s="12">
        <f t="shared" si="2"/>
        <v>66.08</v>
      </c>
      <c r="P9" s="13"/>
    </row>
    <row r="10" spans="1:16" ht="14.5" x14ac:dyDescent="0.35">
      <c r="A10" s="8" t="s">
        <v>16</v>
      </c>
      <c r="B10" s="8">
        <v>12.3</v>
      </c>
      <c r="C10" s="9">
        <v>193.66</v>
      </c>
      <c r="D10" s="10">
        <f t="shared" si="3"/>
        <v>6.6000000000000003E-2</v>
      </c>
      <c r="E10" s="8">
        <f t="shared" si="3"/>
        <v>281.07</v>
      </c>
      <c r="F10" s="8">
        <f t="shared" si="3"/>
        <v>263.8</v>
      </c>
      <c r="G10" s="11">
        <f t="shared" si="3"/>
        <v>3.26</v>
      </c>
      <c r="H10" s="11">
        <f t="shared" si="3"/>
        <v>2.9</v>
      </c>
      <c r="I10" s="8">
        <f t="shared" si="3"/>
        <v>1.44</v>
      </c>
      <c r="J10" s="11">
        <f t="shared" si="3"/>
        <v>0.97199999999999998</v>
      </c>
      <c r="K10" s="11">
        <f t="shared" si="3"/>
        <v>0.72</v>
      </c>
      <c r="L10" s="12">
        <f t="shared" si="0"/>
        <v>5.67</v>
      </c>
      <c r="M10" s="12">
        <f t="shared" si="1"/>
        <v>4.8999999999999995</v>
      </c>
      <c r="N10" s="12">
        <f t="shared" si="2"/>
        <v>215.92</v>
      </c>
      <c r="P10" s="13"/>
    </row>
    <row r="11" spans="1:16" ht="14.5" x14ac:dyDescent="0.35">
      <c r="A11" s="8" t="s">
        <v>17</v>
      </c>
      <c r="B11" s="8">
        <v>96</v>
      </c>
      <c r="C11" s="9">
        <v>2359.3100000000004</v>
      </c>
      <c r="D11" s="10">
        <f t="shared" si="3"/>
        <v>6.6000000000000003E-2</v>
      </c>
      <c r="E11" s="8">
        <f t="shared" si="3"/>
        <v>281.07</v>
      </c>
      <c r="F11" s="8">
        <f t="shared" si="3"/>
        <v>263.8</v>
      </c>
      <c r="G11" s="11">
        <f t="shared" si="3"/>
        <v>3.26</v>
      </c>
      <c r="H11" s="11">
        <f t="shared" si="3"/>
        <v>2.9</v>
      </c>
      <c r="I11" s="8">
        <f t="shared" si="3"/>
        <v>1.44</v>
      </c>
      <c r="J11" s="11">
        <f t="shared" si="3"/>
        <v>0.97199999999999998</v>
      </c>
      <c r="K11" s="11">
        <f t="shared" si="3"/>
        <v>0.72</v>
      </c>
      <c r="L11" s="12">
        <f t="shared" si="0"/>
        <v>5.67</v>
      </c>
      <c r="M11" s="12">
        <f t="shared" si="1"/>
        <v>4.8999999999999995</v>
      </c>
      <c r="N11" s="12">
        <f t="shared" si="2"/>
        <v>2588.9500000000003</v>
      </c>
      <c r="P11" s="13"/>
    </row>
    <row r="12" spans="1:16" ht="14.5" x14ac:dyDescent="0.35">
      <c r="A12" s="8" t="s">
        <v>18</v>
      </c>
      <c r="B12" s="8">
        <v>59</v>
      </c>
      <c r="C12" s="9">
        <v>758.54</v>
      </c>
      <c r="D12" s="10">
        <f t="shared" si="3"/>
        <v>6.6000000000000003E-2</v>
      </c>
      <c r="E12" s="8">
        <f t="shared" si="3"/>
        <v>281.07</v>
      </c>
      <c r="F12" s="8">
        <f t="shared" si="3"/>
        <v>263.8</v>
      </c>
      <c r="G12" s="11">
        <f t="shared" si="3"/>
        <v>3.26</v>
      </c>
      <c r="H12" s="11">
        <f t="shared" si="3"/>
        <v>2.9</v>
      </c>
      <c r="I12" s="8">
        <f t="shared" si="3"/>
        <v>1.44</v>
      </c>
      <c r="J12" s="11">
        <f t="shared" si="3"/>
        <v>0.97199999999999998</v>
      </c>
      <c r="K12" s="11">
        <f t="shared" si="3"/>
        <v>0.72</v>
      </c>
      <c r="L12" s="12">
        <f t="shared" si="0"/>
        <v>5.67</v>
      </c>
      <c r="M12" s="12">
        <f t="shared" si="1"/>
        <v>4.8999999999999995</v>
      </c>
      <c r="N12" s="12">
        <f t="shared" si="2"/>
        <v>854.04</v>
      </c>
      <c r="P12" s="13"/>
    </row>
    <row r="13" spans="1:16" ht="14.5" x14ac:dyDescent="0.35">
      <c r="A13" s="8" t="s">
        <v>19</v>
      </c>
      <c r="B13" s="8">
        <v>7.36</v>
      </c>
      <c r="C13" s="14">
        <v>200.37</v>
      </c>
      <c r="D13" s="10">
        <f t="shared" si="3"/>
        <v>6.6000000000000003E-2</v>
      </c>
      <c r="E13" s="8">
        <f t="shared" si="3"/>
        <v>281.07</v>
      </c>
      <c r="F13" s="8">
        <f t="shared" si="3"/>
        <v>263.8</v>
      </c>
      <c r="G13" s="11">
        <f t="shared" si="3"/>
        <v>3.26</v>
      </c>
      <c r="H13" s="11">
        <f t="shared" si="3"/>
        <v>2.9</v>
      </c>
      <c r="I13" s="8">
        <f t="shared" si="3"/>
        <v>1.44</v>
      </c>
      <c r="J13" s="11">
        <f t="shared" si="3"/>
        <v>0.97199999999999998</v>
      </c>
      <c r="K13" s="11">
        <f t="shared" si="3"/>
        <v>0.72</v>
      </c>
      <c r="L13" s="12">
        <f t="shared" si="0"/>
        <v>5.67</v>
      </c>
      <c r="M13" s="12">
        <f t="shared" si="1"/>
        <v>4.8999999999999995</v>
      </c>
      <c r="N13" s="12">
        <f t="shared" si="2"/>
        <v>219.26999999999998</v>
      </c>
      <c r="P13" s="13"/>
    </row>
    <row r="14" spans="1:16" ht="14.5" x14ac:dyDescent="0.35">
      <c r="A14" s="8" t="s">
        <v>20</v>
      </c>
      <c r="B14" s="8">
        <v>5.9</v>
      </c>
      <c r="C14" s="14">
        <v>281.23</v>
      </c>
      <c r="D14" s="10">
        <f t="shared" si="3"/>
        <v>6.6000000000000003E-2</v>
      </c>
      <c r="E14" s="8">
        <f t="shared" si="3"/>
        <v>281.07</v>
      </c>
      <c r="F14" s="8">
        <f t="shared" si="3"/>
        <v>263.8</v>
      </c>
      <c r="G14" s="11">
        <f t="shared" si="3"/>
        <v>3.26</v>
      </c>
      <c r="H14" s="11">
        <f t="shared" si="3"/>
        <v>2.9</v>
      </c>
      <c r="I14" s="8">
        <f t="shared" si="3"/>
        <v>1.44</v>
      </c>
      <c r="J14" s="11">
        <f t="shared" si="3"/>
        <v>0.97199999999999998</v>
      </c>
      <c r="K14" s="11">
        <f t="shared" si="3"/>
        <v>0.72</v>
      </c>
      <c r="L14" s="12">
        <f t="shared" si="0"/>
        <v>5.67</v>
      </c>
      <c r="M14" s="12">
        <f t="shared" si="1"/>
        <v>4.8999999999999995</v>
      </c>
      <c r="N14" s="12">
        <f t="shared" si="2"/>
        <v>304.33999999999997</v>
      </c>
      <c r="P14" s="13"/>
    </row>
    <row r="15" spans="1:16" ht="14.5" x14ac:dyDescent="0.35">
      <c r="A15" s="8" t="s">
        <v>21</v>
      </c>
      <c r="B15" s="8">
        <v>3.7</v>
      </c>
      <c r="C15" s="14">
        <v>182.09</v>
      </c>
      <c r="D15" s="10">
        <f t="shared" si="3"/>
        <v>6.6000000000000003E-2</v>
      </c>
      <c r="E15" s="8">
        <f t="shared" si="3"/>
        <v>281.07</v>
      </c>
      <c r="F15" s="8">
        <f t="shared" si="3"/>
        <v>263.8</v>
      </c>
      <c r="G15" s="11">
        <f t="shared" si="3"/>
        <v>3.26</v>
      </c>
      <c r="H15" s="11">
        <f t="shared" si="3"/>
        <v>2.9</v>
      </c>
      <c r="I15" s="8">
        <f t="shared" si="3"/>
        <v>1.44</v>
      </c>
      <c r="J15" s="11">
        <f t="shared" si="3"/>
        <v>0.97199999999999998</v>
      </c>
      <c r="K15" s="11">
        <f t="shared" si="3"/>
        <v>0.72</v>
      </c>
      <c r="L15" s="12">
        <f t="shared" si="0"/>
        <v>5.67</v>
      </c>
      <c r="M15" s="12">
        <f t="shared" si="1"/>
        <v>4.8999999999999995</v>
      </c>
      <c r="N15" s="12">
        <f t="shared" si="2"/>
        <v>196.95999999999998</v>
      </c>
      <c r="P15" s="13"/>
    </row>
    <row r="16" spans="1:16" ht="14.5" x14ac:dyDescent="0.35">
      <c r="A16" s="8">
        <v>221134</v>
      </c>
      <c r="B16" s="8">
        <v>0.3</v>
      </c>
      <c r="C16" s="14">
        <v>46.12</v>
      </c>
      <c r="D16" s="10">
        <f t="shared" si="3"/>
        <v>6.6000000000000003E-2</v>
      </c>
      <c r="E16" s="8">
        <f t="shared" si="3"/>
        <v>281.07</v>
      </c>
      <c r="F16" s="8">
        <f t="shared" si="3"/>
        <v>263.8</v>
      </c>
      <c r="G16" s="11">
        <f t="shared" si="3"/>
        <v>3.26</v>
      </c>
      <c r="H16" s="11">
        <f t="shared" si="3"/>
        <v>2.9</v>
      </c>
      <c r="I16" s="8">
        <f t="shared" si="3"/>
        <v>1.44</v>
      </c>
      <c r="J16" s="11">
        <f t="shared" si="3"/>
        <v>0.97199999999999998</v>
      </c>
      <c r="K16" s="11">
        <f t="shared" si="3"/>
        <v>0.72</v>
      </c>
      <c r="L16" s="12">
        <f t="shared" si="0"/>
        <v>5.67</v>
      </c>
      <c r="M16" s="12">
        <f t="shared" si="1"/>
        <v>4.8999999999999995</v>
      </c>
      <c r="N16" s="12">
        <f t="shared" si="2"/>
        <v>49.4</v>
      </c>
      <c r="P16" s="13"/>
    </row>
    <row r="17" spans="1:16" ht="14.5" x14ac:dyDescent="0.35">
      <c r="A17" s="8" t="s">
        <v>22</v>
      </c>
      <c r="B17" s="8">
        <v>7.2</v>
      </c>
      <c r="C17" s="9">
        <v>193.13</v>
      </c>
      <c r="D17" s="10">
        <f t="shared" si="3"/>
        <v>6.6000000000000003E-2</v>
      </c>
      <c r="E17" s="8">
        <f t="shared" si="3"/>
        <v>281.07</v>
      </c>
      <c r="F17" s="8">
        <f t="shared" si="3"/>
        <v>263.8</v>
      </c>
      <c r="G17" s="11">
        <f t="shared" si="3"/>
        <v>3.26</v>
      </c>
      <c r="H17" s="11">
        <f t="shared" si="3"/>
        <v>2.9</v>
      </c>
      <c r="I17" s="8">
        <f t="shared" si="3"/>
        <v>1.44</v>
      </c>
      <c r="J17" s="11">
        <f t="shared" si="3"/>
        <v>0.97199999999999998</v>
      </c>
      <c r="K17" s="11">
        <f t="shared" si="3"/>
        <v>0.72</v>
      </c>
      <c r="L17" s="12">
        <f t="shared" si="0"/>
        <v>5.67</v>
      </c>
      <c r="M17" s="12">
        <f t="shared" si="1"/>
        <v>4.8999999999999995</v>
      </c>
      <c r="N17" s="12">
        <f t="shared" si="2"/>
        <v>211.42999999999998</v>
      </c>
      <c r="P17" s="13"/>
    </row>
    <row r="18" spans="1:16" ht="14.5" x14ac:dyDescent="0.35">
      <c r="A18" s="8" t="s">
        <v>23</v>
      </c>
      <c r="B18" s="8">
        <v>2.75</v>
      </c>
      <c r="C18" s="9">
        <v>106.37</v>
      </c>
      <c r="D18" s="10">
        <f t="shared" si="3"/>
        <v>6.6000000000000003E-2</v>
      </c>
      <c r="E18" s="8">
        <f t="shared" si="3"/>
        <v>281.07</v>
      </c>
      <c r="F18" s="8">
        <f t="shared" si="3"/>
        <v>263.8</v>
      </c>
      <c r="G18" s="11">
        <f t="shared" si="3"/>
        <v>3.26</v>
      </c>
      <c r="H18" s="11">
        <f t="shared" si="3"/>
        <v>2.9</v>
      </c>
      <c r="I18" s="8">
        <f t="shared" si="3"/>
        <v>1.44</v>
      </c>
      <c r="J18" s="11">
        <f t="shared" si="3"/>
        <v>0.97199999999999998</v>
      </c>
      <c r="K18" s="11">
        <f t="shared" si="3"/>
        <v>0.72</v>
      </c>
      <c r="L18" s="12">
        <f t="shared" si="0"/>
        <v>5.67</v>
      </c>
      <c r="M18" s="12">
        <f t="shared" si="1"/>
        <v>4.8999999999999995</v>
      </c>
      <c r="N18" s="12">
        <f t="shared" si="2"/>
        <v>115.51</v>
      </c>
      <c r="P18" s="13"/>
    </row>
    <row r="19" spans="1:16" ht="14.5" x14ac:dyDescent="0.35">
      <c r="A19" s="8" t="s">
        <v>24</v>
      </c>
      <c r="B19" s="8">
        <v>7.85</v>
      </c>
      <c r="C19" s="9">
        <v>166.6</v>
      </c>
      <c r="D19" s="10">
        <f t="shared" si="3"/>
        <v>6.6000000000000003E-2</v>
      </c>
      <c r="E19" s="8">
        <f t="shared" si="3"/>
        <v>281.07</v>
      </c>
      <c r="F19" s="8">
        <f t="shared" si="3"/>
        <v>263.8</v>
      </c>
      <c r="G19" s="11">
        <f t="shared" si="3"/>
        <v>3.26</v>
      </c>
      <c r="H19" s="11">
        <f t="shared" si="3"/>
        <v>2.9</v>
      </c>
      <c r="I19" s="8">
        <f t="shared" si="3"/>
        <v>1.44</v>
      </c>
      <c r="J19" s="11">
        <f t="shared" si="3"/>
        <v>0.97199999999999998</v>
      </c>
      <c r="K19" s="11">
        <f t="shared" si="3"/>
        <v>0.72</v>
      </c>
      <c r="L19" s="12">
        <f t="shared" si="0"/>
        <v>5.67</v>
      </c>
      <c r="M19" s="12">
        <f t="shared" si="1"/>
        <v>4.8999999999999995</v>
      </c>
      <c r="N19" s="12">
        <f t="shared" si="2"/>
        <v>183.64999999999998</v>
      </c>
      <c r="P19" s="13"/>
    </row>
    <row r="20" spans="1:16" ht="14.5" x14ac:dyDescent="0.35">
      <c r="A20" s="8">
        <v>221700</v>
      </c>
      <c r="B20" s="8">
        <v>2.4</v>
      </c>
      <c r="C20" s="9">
        <v>344.06</v>
      </c>
      <c r="D20" s="10">
        <f t="shared" ref="D20:K52" si="4">D$2</f>
        <v>6.6000000000000003E-2</v>
      </c>
      <c r="E20" s="8">
        <f t="shared" si="4"/>
        <v>281.07</v>
      </c>
      <c r="F20" s="8">
        <f t="shared" si="4"/>
        <v>263.8</v>
      </c>
      <c r="G20" s="11">
        <f t="shared" si="4"/>
        <v>3.26</v>
      </c>
      <c r="H20" s="11">
        <f t="shared" si="4"/>
        <v>2.9</v>
      </c>
      <c r="I20" s="8">
        <f t="shared" si="4"/>
        <v>1.44</v>
      </c>
      <c r="J20" s="11">
        <f t="shared" si="4"/>
        <v>0.97199999999999998</v>
      </c>
      <c r="K20" s="11">
        <f t="shared" si="4"/>
        <v>0.72</v>
      </c>
      <c r="L20" s="12">
        <f t="shared" si="0"/>
        <v>5.67</v>
      </c>
      <c r="M20" s="12">
        <f t="shared" si="1"/>
        <v>4.8999999999999995</v>
      </c>
      <c r="N20" s="12">
        <f t="shared" si="2"/>
        <v>368.62</v>
      </c>
      <c r="P20" s="13"/>
    </row>
    <row r="21" spans="1:16" ht="14.5" x14ac:dyDescent="0.35">
      <c r="A21" s="8" t="s">
        <v>25</v>
      </c>
      <c r="B21" s="8">
        <v>3.77</v>
      </c>
      <c r="C21" s="9">
        <v>266.25</v>
      </c>
      <c r="D21" s="10">
        <f t="shared" si="4"/>
        <v>6.6000000000000003E-2</v>
      </c>
      <c r="E21" s="8">
        <f t="shared" si="4"/>
        <v>281.07</v>
      </c>
      <c r="F21" s="8">
        <f t="shared" si="4"/>
        <v>263.8</v>
      </c>
      <c r="G21" s="11">
        <f t="shared" si="4"/>
        <v>3.26</v>
      </c>
      <c r="H21" s="11">
        <f t="shared" si="4"/>
        <v>2.9</v>
      </c>
      <c r="I21" s="8">
        <f t="shared" si="4"/>
        <v>1.44</v>
      </c>
      <c r="J21" s="11">
        <f t="shared" si="4"/>
        <v>0.97199999999999998</v>
      </c>
      <c r="K21" s="11">
        <f t="shared" si="4"/>
        <v>0.72</v>
      </c>
      <c r="L21" s="12">
        <f t="shared" si="0"/>
        <v>5.67</v>
      </c>
      <c r="M21" s="12">
        <f t="shared" si="1"/>
        <v>4.8999999999999995</v>
      </c>
      <c r="N21" s="12">
        <f t="shared" si="2"/>
        <v>286.73</v>
      </c>
      <c r="P21" s="13"/>
    </row>
    <row r="22" spans="1:16" ht="14.5" x14ac:dyDescent="0.35">
      <c r="A22" s="8">
        <v>221721</v>
      </c>
      <c r="B22" s="8">
        <v>2.11</v>
      </c>
      <c r="C22" s="14">
        <v>108.41000000000001</v>
      </c>
      <c r="D22" s="10">
        <f t="shared" si="4"/>
        <v>6.6000000000000003E-2</v>
      </c>
      <c r="E22" s="8">
        <f t="shared" si="4"/>
        <v>281.07</v>
      </c>
      <c r="F22" s="8">
        <f t="shared" si="4"/>
        <v>263.8</v>
      </c>
      <c r="G22" s="11">
        <f t="shared" si="4"/>
        <v>3.26</v>
      </c>
      <c r="H22" s="11">
        <f t="shared" si="4"/>
        <v>2.9</v>
      </c>
      <c r="I22" s="8">
        <f t="shared" si="4"/>
        <v>1.44</v>
      </c>
      <c r="J22" s="11">
        <f t="shared" si="4"/>
        <v>0.97199999999999998</v>
      </c>
      <c r="K22" s="11">
        <f t="shared" si="4"/>
        <v>0.72</v>
      </c>
      <c r="L22" s="12">
        <f t="shared" si="0"/>
        <v>5.67</v>
      </c>
      <c r="M22" s="12">
        <f t="shared" si="1"/>
        <v>4.8999999999999995</v>
      </c>
      <c r="N22" s="12">
        <f t="shared" si="2"/>
        <v>117.19000000000001</v>
      </c>
      <c r="P22" s="13"/>
    </row>
    <row r="23" spans="1:16" ht="14.5" x14ac:dyDescent="0.35">
      <c r="A23" s="8" t="s">
        <v>26</v>
      </c>
      <c r="B23" s="8">
        <v>3.45</v>
      </c>
      <c r="C23" s="9">
        <v>51.82</v>
      </c>
      <c r="D23" s="10">
        <f t="shared" si="4"/>
        <v>6.6000000000000003E-2</v>
      </c>
      <c r="E23" s="8">
        <f t="shared" si="4"/>
        <v>281.07</v>
      </c>
      <c r="F23" s="8">
        <f t="shared" si="4"/>
        <v>263.8</v>
      </c>
      <c r="G23" s="11">
        <f t="shared" si="4"/>
        <v>3.26</v>
      </c>
      <c r="H23" s="11">
        <f t="shared" si="4"/>
        <v>2.9</v>
      </c>
      <c r="I23" s="8">
        <f t="shared" si="4"/>
        <v>1.44</v>
      </c>
      <c r="J23" s="11">
        <f t="shared" si="4"/>
        <v>0.97199999999999998</v>
      </c>
      <c r="K23" s="11">
        <f t="shared" si="4"/>
        <v>0.72</v>
      </c>
      <c r="L23" s="12">
        <f t="shared" si="0"/>
        <v>5.67</v>
      </c>
      <c r="M23" s="12">
        <f t="shared" si="1"/>
        <v>4.8999999999999995</v>
      </c>
      <c r="N23" s="12">
        <f t="shared" si="2"/>
        <v>57.9</v>
      </c>
      <c r="P23" s="13"/>
    </row>
    <row r="24" spans="1:16" ht="14.5" x14ac:dyDescent="0.35">
      <c r="A24" s="8" t="s">
        <v>27</v>
      </c>
      <c r="B24" s="8">
        <v>4.28</v>
      </c>
      <c r="C24" s="9">
        <v>65.52000000000001</v>
      </c>
      <c r="D24" s="10">
        <f t="shared" si="4"/>
        <v>6.6000000000000003E-2</v>
      </c>
      <c r="E24" s="8">
        <f t="shared" si="4"/>
        <v>281.07</v>
      </c>
      <c r="F24" s="8">
        <f t="shared" si="4"/>
        <v>263.8</v>
      </c>
      <c r="G24" s="11">
        <f t="shared" si="4"/>
        <v>3.26</v>
      </c>
      <c r="H24" s="11">
        <f t="shared" si="4"/>
        <v>2.9</v>
      </c>
      <c r="I24" s="8">
        <f t="shared" si="4"/>
        <v>1.44</v>
      </c>
      <c r="J24" s="11">
        <f t="shared" si="4"/>
        <v>0.97199999999999998</v>
      </c>
      <c r="K24" s="11">
        <f t="shared" si="4"/>
        <v>0.72</v>
      </c>
      <c r="L24" s="12">
        <f t="shared" si="0"/>
        <v>5.67</v>
      </c>
      <c r="M24" s="12">
        <f t="shared" si="1"/>
        <v>4.8999999999999995</v>
      </c>
      <c r="N24" s="12">
        <f t="shared" si="2"/>
        <v>73.14</v>
      </c>
      <c r="P24" s="13"/>
    </row>
    <row r="25" spans="1:16" ht="14.5" x14ac:dyDescent="0.35">
      <c r="A25" s="8" t="s">
        <v>28</v>
      </c>
      <c r="B25" s="8">
        <v>2.2000000000000002</v>
      </c>
      <c r="C25" s="9">
        <v>64.64</v>
      </c>
      <c r="D25" s="10">
        <f t="shared" si="4"/>
        <v>6.6000000000000003E-2</v>
      </c>
      <c r="E25" s="8">
        <f t="shared" si="4"/>
        <v>281.07</v>
      </c>
      <c r="F25" s="8">
        <f t="shared" si="4"/>
        <v>263.8</v>
      </c>
      <c r="G25" s="11">
        <f t="shared" si="4"/>
        <v>3.26</v>
      </c>
      <c r="H25" s="11">
        <f t="shared" si="4"/>
        <v>2.9</v>
      </c>
      <c r="I25" s="8">
        <f t="shared" si="4"/>
        <v>1.44</v>
      </c>
      <c r="J25" s="11">
        <f t="shared" si="4"/>
        <v>0.97199999999999998</v>
      </c>
      <c r="K25" s="11">
        <f t="shared" si="4"/>
        <v>0.72</v>
      </c>
      <c r="L25" s="12">
        <f t="shared" si="0"/>
        <v>5.67</v>
      </c>
      <c r="M25" s="12">
        <f t="shared" si="1"/>
        <v>4.8999999999999995</v>
      </c>
      <c r="N25" s="12">
        <f t="shared" si="2"/>
        <v>70.61</v>
      </c>
      <c r="P25" s="13"/>
    </row>
    <row r="26" spans="1:16" ht="14.5" x14ac:dyDescent="0.35">
      <c r="A26" s="8" t="s">
        <v>29</v>
      </c>
      <c r="B26" s="8">
        <v>28.6</v>
      </c>
      <c r="C26" s="9">
        <v>523.79999999999995</v>
      </c>
      <c r="D26" s="10">
        <f t="shared" si="4"/>
        <v>6.6000000000000003E-2</v>
      </c>
      <c r="E26" s="8">
        <f t="shared" si="4"/>
        <v>281.07</v>
      </c>
      <c r="F26" s="8">
        <f t="shared" si="4"/>
        <v>263.8</v>
      </c>
      <c r="G26" s="11">
        <f t="shared" si="4"/>
        <v>3.26</v>
      </c>
      <c r="H26" s="11">
        <f t="shared" si="4"/>
        <v>2.9</v>
      </c>
      <c r="I26" s="8">
        <f t="shared" si="4"/>
        <v>1.44</v>
      </c>
      <c r="J26" s="11">
        <f t="shared" si="4"/>
        <v>0.97199999999999998</v>
      </c>
      <c r="K26" s="11">
        <f t="shared" si="4"/>
        <v>0.72</v>
      </c>
      <c r="L26" s="12">
        <f t="shared" si="0"/>
        <v>5.67</v>
      </c>
      <c r="M26" s="12">
        <f t="shared" si="1"/>
        <v>4.8999999999999995</v>
      </c>
      <c r="N26" s="12">
        <f t="shared" si="2"/>
        <v>580.4</v>
      </c>
      <c r="P26" s="13"/>
    </row>
    <row r="27" spans="1:16" ht="14.5" x14ac:dyDescent="0.35">
      <c r="A27" s="8" t="s">
        <v>30</v>
      </c>
      <c r="B27" s="8">
        <v>4.0999999999999996</v>
      </c>
      <c r="C27" s="9">
        <v>253.14</v>
      </c>
      <c r="D27" s="10">
        <f t="shared" si="4"/>
        <v>6.6000000000000003E-2</v>
      </c>
      <c r="E27" s="8">
        <f t="shared" si="4"/>
        <v>281.07</v>
      </c>
      <c r="F27" s="8">
        <f t="shared" si="4"/>
        <v>263.8</v>
      </c>
      <c r="G27" s="11">
        <f t="shared" si="4"/>
        <v>3.26</v>
      </c>
      <c r="H27" s="11">
        <f t="shared" si="4"/>
        <v>2.9</v>
      </c>
      <c r="I27" s="8">
        <f t="shared" si="4"/>
        <v>1.44</v>
      </c>
      <c r="J27" s="11">
        <f t="shared" si="4"/>
        <v>0.97199999999999998</v>
      </c>
      <c r="K27" s="11">
        <f t="shared" si="4"/>
        <v>0.72</v>
      </c>
      <c r="L27" s="12">
        <f t="shared" si="0"/>
        <v>5.67</v>
      </c>
      <c r="M27" s="12">
        <f t="shared" si="1"/>
        <v>4.8999999999999995</v>
      </c>
      <c r="N27" s="12">
        <f t="shared" si="2"/>
        <v>273.01</v>
      </c>
      <c r="P27" s="13"/>
    </row>
    <row r="28" spans="1:16" ht="14.5" x14ac:dyDescent="0.35">
      <c r="A28" s="8" t="s">
        <v>31</v>
      </c>
      <c r="B28" s="8">
        <v>1</v>
      </c>
      <c r="C28" s="9">
        <v>40.53</v>
      </c>
      <c r="D28" s="10">
        <f t="shared" si="4"/>
        <v>6.6000000000000003E-2</v>
      </c>
      <c r="E28" s="8">
        <f t="shared" si="4"/>
        <v>281.07</v>
      </c>
      <c r="F28" s="8">
        <f t="shared" si="4"/>
        <v>263.8</v>
      </c>
      <c r="G28" s="11">
        <f t="shared" si="4"/>
        <v>3.26</v>
      </c>
      <c r="H28" s="11">
        <f t="shared" si="4"/>
        <v>2.9</v>
      </c>
      <c r="I28" s="8">
        <f t="shared" si="4"/>
        <v>1.44</v>
      </c>
      <c r="J28" s="11">
        <f t="shared" si="4"/>
        <v>0.97199999999999998</v>
      </c>
      <c r="K28" s="11">
        <f t="shared" si="4"/>
        <v>0.72</v>
      </c>
      <c r="L28" s="12">
        <f t="shared" si="0"/>
        <v>5.67</v>
      </c>
      <c r="M28" s="12">
        <f t="shared" si="1"/>
        <v>4.8999999999999995</v>
      </c>
      <c r="N28" s="12">
        <f t="shared" si="2"/>
        <v>43.98</v>
      </c>
      <c r="P28" s="13"/>
    </row>
    <row r="29" spans="1:16" ht="14.5" x14ac:dyDescent="0.35">
      <c r="A29" s="8" t="s">
        <v>32</v>
      </c>
      <c r="B29" s="8">
        <v>3.75</v>
      </c>
      <c r="C29" s="9">
        <v>202.29</v>
      </c>
      <c r="D29" s="10">
        <f t="shared" si="4"/>
        <v>6.6000000000000003E-2</v>
      </c>
      <c r="E29" s="8">
        <f t="shared" si="4"/>
        <v>281.07</v>
      </c>
      <c r="F29" s="8">
        <f t="shared" si="4"/>
        <v>263.8</v>
      </c>
      <c r="G29" s="11">
        <f t="shared" si="4"/>
        <v>3.26</v>
      </c>
      <c r="H29" s="11">
        <f t="shared" si="4"/>
        <v>2.9</v>
      </c>
      <c r="I29" s="8">
        <f t="shared" si="4"/>
        <v>1.44</v>
      </c>
      <c r="J29" s="11">
        <f t="shared" si="4"/>
        <v>0.97199999999999998</v>
      </c>
      <c r="K29" s="11">
        <f t="shared" si="4"/>
        <v>0.72</v>
      </c>
      <c r="L29" s="12">
        <f t="shared" si="0"/>
        <v>5.67</v>
      </c>
      <c r="M29" s="12">
        <f t="shared" si="1"/>
        <v>4.8999999999999995</v>
      </c>
      <c r="N29" s="12">
        <f t="shared" si="2"/>
        <v>218.53</v>
      </c>
      <c r="P29" s="13"/>
    </row>
    <row r="30" spans="1:16" ht="14.5" x14ac:dyDescent="0.35">
      <c r="A30" s="8" t="s">
        <v>33</v>
      </c>
      <c r="B30" s="8">
        <v>9.57</v>
      </c>
      <c r="C30" s="9">
        <v>251.84</v>
      </c>
      <c r="D30" s="10">
        <f t="shared" si="4"/>
        <v>6.6000000000000003E-2</v>
      </c>
      <c r="E30" s="8">
        <f t="shared" si="4"/>
        <v>281.07</v>
      </c>
      <c r="F30" s="8">
        <f t="shared" si="4"/>
        <v>263.8</v>
      </c>
      <c r="G30" s="11">
        <f t="shared" si="4"/>
        <v>3.26</v>
      </c>
      <c r="H30" s="11">
        <f t="shared" si="4"/>
        <v>2.9</v>
      </c>
      <c r="I30" s="8">
        <f t="shared" si="4"/>
        <v>1.44</v>
      </c>
      <c r="J30" s="11">
        <f t="shared" si="4"/>
        <v>0.97199999999999998</v>
      </c>
      <c r="K30" s="11">
        <f t="shared" si="4"/>
        <v>0.72</v>
      </c>
      <c r="L30" s="12">
        <f t="shared" si="0"/>
        <v>5.67</v>
      </c>
      <c r="M30" s="12">
        <f t="shared" si="1"/>
        <v>4.8999999999999995</v>
      </c>
      <c r="N30" s="12">
        <f t="shared" si="2"/>
        <v>275.83999999999997</v>
      </c>
      <c r="P30" s="13"/>
    </row>
    <row r="31" spans="1:16" ht="14.5" x14ac:dyDescent="0.35">
      <c r="A31" s="8" t="s">
        <v>34</v>
      </c>
      <c r="B31" s="8">
        <v>5.22</v>
      </c>
      <c r="C31" s="9">
        <v>107.45</v>
      </c>
      <c r="D31" s="10">
        <f t="shared" si="4"/>
        <v>6.6000000000000003E-2</v>
      </c>
      <c r="E31" s="8">
        <f t="shared" si="4"/>
        <v>281.07</v>
      </c>
      <c r="F31" s="8">
        <f t="shared" si="4"/>
        <v>263.8</v>
      </c>
      <c r="G31" s="11">
        <f t="shared" si="4"/>
        <v>3.26</v>
      </c>
      <c r="H31" s="11">
        <f t="shared" si="4"/>
        <v>2.9</v>
      </c>
      <c r="I31" s="8">
        <f t="shared" si="4"/>
        <v>1.44</v>
      </c>
      <c r="J31" s="11">
        <f t="shared" si="4"/>
        <v>0.97199999999999998</v>
      </c>
      <c r="K31" s="11">
        <f t="shared" si="4"/>
        <v>0.72</v>
      </c>
      <c r="L31" s="12">
        <f t="shared" si="0"/>
        <v>5.67</v>
      </c>
      <c r="M31" s="12">
        <f t="shared" si="1"/>
        <v>4.8999999999999995</v>
      </c>
      <c r="N31" s="12">
        <f t="shared" si="2"/>
        <v>118.57000000000001</v>
      </c>
      <c r="P31" s="13"/>
    </row>
    <row r="32" spans="1:16" ht="14.5" x14ac:dyDescent="0.35">
      <c r="A32" s="8" t="s">
        <v>35</v>
      </c>
      <c r="B32" s="8">
        <v>17.600000000000001</v>
      </c>
      <c r="C32" s="9">
        <v>448.58</v>
      </c>
      <c r="D32" s="10">
        <f t="shared" si="4"/>
        <v>6.6000000000000003E-2</v>
      </c>
      <c r="E32" s="8">
        <f t="shared" si="4"/>
        <v>281.07</v>
      </c>
      <c r="F32" s="8">
        <f t="shared" si="4"/>
        <v>263.8</v>
      </c>
      <c r="G32" s="11">
        <f t="shared" si="4"/>
        <v>3.26</v>
      </c>
      <c r="H32" s="11">
        <f t="shared" si="4"/>
        <v>2.9</v>
      </c>
      <c r="I32" s="8">
        <f t="shared" si="4"/>
        <v>1.44</v>
      </c>
      <c r="J32" s="11">
        <f t="shared" si="4"/>
        <v>0.97199999999999998</v>
      </c>
      <c r="K32" s="11">
        <f t="shared" si="4"/>
        <v>0.72</v>
      </c>
      <c r="L32" s="12">
        <f t="shared" si="0"/>
        <v>5.67</v>
      </c>
      <c r="M32" s="12">
        <f t="shared" si="1"/>
        <v>4.8999999999999995</v>
      </c>
      <c r="N32" s="12">
        <f t="shared" si="2"/>
        <v>491.74</v>
      </c>
      <c r="P32" s="13"/>
    </row>
    <row r="33" spans="1:16" ht="14.5" x14ac:dyDescent="0.35">
      <c r="A33" s="8" t="s">
        <v>36</v>
      </c>
      <c r="B33" s="8">
        <v>15</v>
      </c>
      <c r="C33" s="9">
        <v>299.02</v>
      </c>
      <c r="D33" s="10">
        <f t="shared" si="4"/>
        <v>6.6000000000000003E-2</v>
      </c>
      <c r="E33" s="8">
        <f t="shared" si="4"/>
        <v>281.07</v>
      </c>
      <c r="F33" s="8">
        <f t="shared" si="4"/>
        <v>263.8</v>
      </c>
      <c r="G33" s="11">
        <f t="shared" si="4"/>
        <v>3.26</v>
      </c>
      <c r="H33" s="11">
        <f t="shared" si="4"/>
        <v>2.9</v>
      </c>
      <c r="I33" s="8">
        <f t="shared" si="4"/>
        <v>1.44</v>
      </c>
      <c r="J33" s="11">
        <f t="shared" si="4"/>
        <v>0.97199999999999998</v>
      </c>
      <c r="K33" s="11">
        <f t="shared" si="4"/>
        <v>0.72</v>
      </c>
      <c r="L33" s="12">
        <f t="shared" si="0"/>
        <v>5.67</v>
      </c>
      <c r="M33" s="12">
        <f t="shared" si="1"/>
        <v>4.8999999999999995</v>
      </c>
      <c r="N33" s="12">
        <f t="shared" si="2"/>
        <v>330.31</v>
      </c>
      <c r="P33" s="13"/>
    </row>
    <row r="34" spans="1:16" ht="14.5" x14ac:dyDescent="0.35">
      <c r="A34" s="8" t="s">
        <v>37</v>
      </c>
      <c r="B34" s="8">
        <v>17.13</v>
      </c>
      <c r="C34" s="9">
        <v>308.89999999999998</v>
      </c>
      <c r="D34" s="10">
        <f t="shared" si="4"/>
        <v>6.6000000000000003E-2</v>
      </c>
      <c r="E34" s="8">
        <f t="shared" si="4"/>
        <v>281.07</v>
      </c>
      <c r="F34" s="8">
        <f t="shared" si="4"/>
        <v>263.8</v>
      </c>
      <c r="G34" s="11">
        <f t="shared" si="4"/>
        <v>3.26</v>
      </c>
      <c r="H34" s="11">
        <f t="shared" si="4"/>
        <v>2.9</v>
      </c>
      <c r="I34" s="8">
        <f t="shared" si="4"/>
        <v>1.44</v>
      </c>
      <c r="J34" s="11">
        <f t="shared" si="4"/>
        <v>0.97199999999999998</v>
      </c>
      <c r="K34" s="11">
        <f t="shared" si="4"/>
        <v>0.72</v>
      </c>
      <c r="L34" s="12">
        <f t="shared" ref="L34:L65" si="5">ROUNDUP(((G34*I34)+J34),2)</f>
        <v>5.67</v>
      </c>
      <c r="M34" s="12">
        <f t="shared" ref="M34:M65" si="6">ROUNDUP(((H34*I34)+K34),2)</f>
        <v>4.8999999999999995</v>
      </c>
      <c r="N34" s="12">
        <f t="shared" ref="N34:N65" si="7">ROUNDUP((C34+((L34-M34)*B34)+(D34*C34)),2)</f>
        <v>342.48</v>
      </c>
      <c r="P34" s="13"/>
    </row>
    <row r="35" spans="1:16" ht="14.5" x14ac:dyDescent="0.35">
      <c r="A35" s="8" t="s">
        <v>38</v>
      </c>
      <c r="B35" s="8">
        <v>1.88</v>
      </c>
      <c r="C35" s="9">
        <v>107.51</v>
      </c>
      <c r="D35" s="10">
        <f t="shared" si="4"/>
        <v>6.6000000000000003E-2</v>
      </c>
      <c r="E35" s="8">
        <f t="shared" si="4"/>
        <v>281.07</v>
      </c>
      <c r="F35" s="8">
        <f t="shared" si="4"/>
        <v>263.8</v>
      </c>
      <c r="G35" s="11">
        <f t="shared" si="4"/>
        <v>3.26</v>
      </c>
      <c r="H35" s="11">
        <f t="shared" si="4"/>
        <v>2.9</v>
      </c>
      <c r="I35" s="8">
        <f t="shared" si="4"/>
        <v>1.44</v>
      </c>
      <c r="J35" s="11">
        <f t="shared" si="4"/>
        <v>0.97199999999999998</v>
      </c>
      <c r="K35" s="11">
        <f t="shared" si="4"/>
        <v>0.72</v>
      </c>
      <c r="L35" s="12">
        <f t="shared" si="5"/>
        <v>5.67</v>
      </c>
      <c r="M35" s="12">
        <f t="shared" si="6"/>
        <v>4.8999999999999995</v>
      </c>
      <c r="N35" s="12">
        <f t="shared" si="7"/>
        <v>116.06</v>
      </c>
      <c r="P35" s="13"/>
    </row>
    <row r="36" spans="1:16" ht="14.5" x14ac:dyDescent="0.35">
      <c r="A36" s="8" t="s">
        <v>39</v>
      </c>
      <c r="B36" s="8">
        <v>18.23</v>
      </c>
      <c r="C36" s="9">
        <v>673.36</v>
      </c>
      <c r="D36" s="10">
        <f t="shared" si="4"/>
        <v>6.6000000000000003E-2</v>
      </c>
      <c r="E36" s="8">
        <f t="shared" si="4"/>
        <v>281.07</v>
      </c>
      <c r="F36" s="8">
        <f t="shared" si="4"/>
        <v>263.8</v>
      </c>
      <c r="G36" s="11">
        <f t="shared" si="4"/>
        <v>3.26</v>
      </c>
      <c r="H36" s="11">
        <f t="shared" si="4"/>
        <v>2.9</v>
      </c>
      <c r="I36" s="8">
        <f t="shared" si="4"/>
        <v>1.44</v>
      </c>
      <c r="J36" s="11">
        <f t="shared" si="4"/>
        <v>0.97199999999999998</v>
      </c>
      <c r="K36" s="11">
        <f t="shared" si="4"/>
        <v>0.72</v>
      </c>
      <c r="L36" s="12">
        <f t="shared" si="5"/>
        <v>5.67</v>
      </c>
      <c r="M36" s="12">
        <f t="shared" si="6"/>
        <v>4.8999999999999995</v>
      </c>
      <c r="N36" s="12">
        <f t="shared" si="7"/>
        <v>731.84</v>
      </c>
      <c r="P36" s="13"/>
    </row>
    <row r="37" spans="1:16" ht="14.5" x14ac:dyDescent="0.35">
      <c r="A37" s="8" t="s">
        <v>40</v>
      </c>
      <c r="B37" s="8">
        <v>9.4</v>
      </c>
      <c r="C37" s="9">
        <v>257.31</v>
      </c>
      <c r="D37" s="10">
        <f t="shared" si="4"/>
        <v>6.6000000000000003E-2</v>
      </c>
      <c r="E37" s="8">
        <f t="shared" si="4"/>
        <v>281.07</v>
      </c>
      <c r="F37" s="8">
        <f t="shared" si="4"/>
        <v>263.8</v>
      </c>
      <c r="G37" s="11">
        <f t="shared" si="4"/>
        <v>3.26</v>
      </c>
      <c r="H37" s="11">
        <f t="shared" si="4"/>
        <v>2.9</v>
      </c>
      <c r="I37" s="8">
        <f t="shared" si="4"/>
        <v>1.44</v>
      </c>
      <c r="J37" s="11">
        <f t="shared" si="4"/>
        <v>0.97199999999999998</v>
      </c>
      <c r="K37" s="11">
        <f t="shared" si="4"/>
        <v>0.72</v>
      </c>
      <c r="L37" s="12">
        <f t="shared" si="5"/>
        <v>5.67</v>
      </c>
      <c r="M37" s="12">
        <f t="shared" si="6"/>
        <v>4.8999999999999995</v>
      </c>
      <c r="N37" s="12">
        <f t="shared" si="7"/>
        <v>281.53999999999996</v>
      </c>
      <c r="P37" s="13"/>
    </row>
    <row r="38" spans="1:16" ht="14.5" x14ac:dyDescent="0.35">
      <c r="A38" s="8" t="s">
        <v>41</v>
      </c>
      <c r="B38" s="8">
        <v>8.9499999999999993</v>
      </c>
      <c r="C38" s="9">
        <v>160.67999999999998</v>
      </c>
      <c r="D38" s="10">
        <f t="shared" si="4"/>
        <v>6.6000000000000003E-2</v>
      </c>
      <c r="E38" s="8">
        <f t="shared" si="4"/>
        <v>281.07</v>
      </c>
      <c r="F38" s="8">
        <f t="shared" si="4"/>
        <v>263.8</v>
      </c>
      <c r="G38" s="11">
        <f t="shared" si="4"/>
        <v>3.26</v>
      </c>
      <c r="H38" s="11">
        <f t="shared" si="4"/>
        <v>2.9</v>
      </c>
      <c r="I38" s="8">
        <f t="shared" si="4"/>
        <v>1.44</v>
      </c>
      <c r="J38" s="11">
        <f t="shared" si="4"/>
        <v>0.97199999999999998</v>
      </c>
      <c r="K38" s="11">
        <f t="shared" si="4"/>
        <v>0.72</v>
      </c>
      <c r="L38" s="12">
        <f t="shared" si="5"/>
        <v>5.67</v>
      </c>
      <c r="M38" s="12">
        <f t="shared" si="6"/>
        <v>4.8999999999999995</v>
      </c>
      <c r="N38" s="12">
        <f t="shared" si="7"/>
        <v>178.17999999999998</v>
      </c>
      <c r="P38" s="13"/>
    </row>
    <row r="39" spans="1:16" ht="14.5" x14ac:dyDescent="0.35">
      <c r="A39" s="8" t="s">
        <v>42</v>
      </c>
      <c r="B39" s="8">
        <v>5.5</v>
      </c>
      <c r="C39" s="9">
        <v>127.04</v>
      </c>
      <c r="D39" s="10">
        <f t="shared" si="4"/>
        <v>6.6000000000000003E-2</v>
      </c>
      <c r="E39" s="8">
        <f t="shared" si="4"/>
        <v>281.07</v>
      </c>
      <c r="F39" s="8">
        <f t="shared" si="4"/>
        <v>263.8</v>
      </c>
      <c r="G39" s="11">
        <f t="shared" si="4"/>
        <v>3.26</v>
      </c>
      <c r="H39" s="11">
        <f t="shared" si="4"/>
        <v>2.9</v>
      </c>
      <c r="I39" s="8">
        <f t="shared" si="4"/>
        <v>1.44</v>
      </c>
      <c r="J39" s="11">
        <f t="shared" si="4"/>
        <v>0.97199999999999998</v>
      </c>
      <c r="K39" s="11">
        <f t="shared" si="4"/>
        <v>0.72</v>
      </c>
      <c r="L39" s="12">
        <f t="shared" si="5"/>
        <v>5.67</v>
      </c>
      <c r="M39" s="12">
        <f t="shared" si="6"/>
        <v>4.8999999999999995</v>
      </c>
      <c r="N39" s="12">
        <f t="shared" si="7"/>
        <v>139.66</v>
      </c>
      <c r="P39" s="13"/>
    </row>
    <row r="40" spans="1:16" ht="14.5" x14ac:dyDescent="0.35">
      <c r="A40" s="8" t="s">
        <v>43</v>
      </c>
      <c r="B40" s="8">
        <v>19.25</v>
      </c>
      <c r="C40" s="9">
        <v>486.93</v>
      </c>
      <c r="D40" s="10">
        <f t="shared" si="4"/>
        <v>6.6000000000000003E-2</v>
      </c>
      <c r="E40" s="8">
        <f t="shared" si="4"/>
        <v>281.07</v>
      </c>
      <c r="F40" s="8">
        <f t="shared" si="4"/>
        <v>263.8</v>
      </c>
      <c r="G40" s="11">
        <f t="shared" si="4"/>
        <v>3.26</v>
      </c>
      <c r="H40" s="11">
        <f t="shared" si="4"/>
        <v>2.9</v>
      </c>
      <c r="I40" s="8">
        <f t="shared" si="4"/>
        <v>1.44</v>
      </c>
      <c r="J40" s="11">
        <f t="shared" si="4"/>
        <v>0.97199999999999998</v>
      </c>
      <c r="K40" s="11">
        <f t="shared" si="4"/>
        <v>0.72</v>
      </c>
      <c r="L40" s="12">
        <f t="shared" si="5"/>
        <v>5.67</v>
      </c>
      <c r="M40" s="12">
        <f t="shared" si="6"/>
        <v>4.8999999999999995</v>
      </c>
      <c r="N40" s="12">
        <f t="shared" si="7"/>
        <v>533.89</v>
      </c>
      <c r="P40" s="13"/>
    </row>
    <row r="41" spans="1:16" ht="14.5" x14ac:dyDescent="0.35">
      <c r="A41" s="8" t="s">
        <v>44</v>
      </c>
      <c r="B41" s="8">
        <v>0.44</v>
      </c>
      <c r="C41" s="9">
        <v>9.49</v>
      </c>
      <c r="D41" s="10">
        <f t="shared" si="4"/>
        <v>6.6000000000000003E-2</v>
      </c>
      <c r="E41" s="8">
        <f t="shared" si="4"/>
        <v>281.07</v>
      </c>
      <c r="F41" s="8">
        <f t="shared" si="4"/>
        <v>263.8</v>
      </c>
      <c r="G41" s="11">
        <v>1.48</v>
      </c>
      <c r="H41" s="11">
        <v>1.47</v>
      </c>
      <c r="I41" s="8">
        <f t="shared" si="4"/>
        <v>1.44</v>
      </c>
      <c r="J41" s="11">
        <f t="shared" si="4"/>
        <v>0.97199999999999998</v>
      </c>
      <c r="K41" s="11">
        <f t="shared" si="4"/>
        <v>0.72</v>
      </c>
      <c r="L41" s="12">
        <f t="shared" si="5"/>
        <v>3.11</v>
      </c>
      <c r="M41" s="12">
        <f t="shared" si="6"/>
        <v>2.84</v>
      </c>
      <c r="N41" s="12">
        <f t="shared" si="7"/>
        <v>10.24</v>
      </c>
      <c r="P41" s="13"/>
    </row>
    <row r="42" spans="1:16" ht="14.5" x14ac:dyDescent="0.35">
      <c r="A42" s="8" t="s">
        <v>45</v>
      </c>
      <c r="B42" s="8">
        <v>8.7899999999999991</v>
      </c>
      <c r="C42" s="9">
        <v>213.23</v>
      </c>
      <c r="D42" s="10">
        <f t="shared" si="4"/>
        <v>6.6000000000000003E-2</v>
      </c>
      <c r="E42" s="8">
        <f t="shared" si="4"/>
        <v>281.07</v>
      </c>
      <c r="F42" s="8">
        <f t="shared" si="4"/>
        <v>263.8</v>
      </c>
      <c r="G42" s="11">
        <f t="shared" si="4"/>
        <v>3.26</v>
      </c>
      <c r="H42" s="11">
        <f t="shared" si="4"/>
        <v>2.9</v>
      </c>
      <c r="I42" s="8">
        <f t="shared" si="4"/>
        <v>1.44</v>
      </c>
      <c r="J42" s="11">
        <f t="shared" si="4"/>
        <v>0.97199999999999998</v>
      </c>
      <c r="K42" s="11">
        <f t="shared" si="4"/>
        <v>0.72</v>
      </c>
      <c r="L42" s="12">
        <f t="shared" si="5"/>
        <v>5.67</v>
      </c>
      <c r="M42" s="12">
        <f t="shared" si="6"/>
        <v>4.8999999999999995</v>
      </c>
      <c r="N42" s="12">
        <f t="shared" si="7"/>
        <v>234.07999999999998</v>
      </c>
      <c r="P42" s="13"/>
    </row>
    <row r="43" spans="1:16" ht="14.5" x14ac:dyDescent="0.35">
      <c r="A43" s="8" t="s">
        <v>46</v>
      </c>
      <c r="B43" s="8">
        <v>13.8</v>
      </c>
      <c r="C43" s="9">
        <v>248.73</v>
      </c>
      <c r="D43" s="10">
        <f t="shared" si="4"/>
        <v>6.6000000000000003E-2</v>
      </c>
      <c r="E43" s="8">
        <f t="shared" si="4"/>
        <v>281.07</v>
      </c>
      <c r="F43" s="8">
        <f t="shared" si="4"/>
        <v>263.8</v>
      </c>
      <c r="G43" s="11">
        <f t="shared" si="4"/>
        <v>3.26</v>
      </c>
      <c r="H43" s="11">
        <f t="shared" si="4"/>
        <v>2.9</v>
      </c>
      <c r="I43" s="8">
        <f t="shared" si="4"/>
        <v>1.44</v>
      </c>
      <c r="J43" s="11">
        <f t="shared" si="4"/>
        <v>0.97199999999999998</v>
      </c>
      <c r="K43" s="11">
        <f t="shared" si="4"/>
        <v>0.72</v>
      </c>
      <c r="L43" s="12">
        <f t="shared" si="5"/>
        <v>5.67</v>
      </c>
      <c r="M43" s="12">
        <f t="shared" si="6"/>
        <v>4.8999999999999995</v>
      </c>
      <c r="N43" s="12">
        <f t="shared" si="7"/>
        <v>275.77999999999997</v>
      </c>
      <c r="P43" s="13"/>
    </row>
    <row r="44" spans="1:16" ht="14.5" x14ac:dyDescent="0.35">
      <c r="A44" s="8" t="s">
        <v>47</v>
      </c>
      <c r="B44" s="8">
        <v>3.22</v>
      </c>
      <c r="C44" s="9">
        <v>106.32000000000001</v>
      </c>
      <c r="D44" s="10">
        <f t="shared" si="4"/>
        <v>6.6000000000000003E-2</v>
      </c>
      <c r="E44" s="8">
        <f t="shared" si="4"/>
        <v>281.07</v>
      </c>
      <c r="F44" s="8">
        <f t="shared" si="4"/>
        <v>263.8</v>
      </c>
      <c r="G44" s="11">
        <f t="shared" si="4"/>
        <v>3.26</v>
      </c>
      <c r="H44" s="11">
        <f t="shared" si="4"/>
        <v>2.9</v>
      </c>
      <c r="I44" s="8">
        <f t="shared" si="4"/>
        <v>1.44</v>
      </c>
      <c r="J44" s="11">
        <f t="shared" si="4"/>
        <v>0.97199999999999998</v>
      </c>
      <c r="K44" s="11">
        <f t="shared" si="4"/>
        <v>0.72</v>
      </c>
      <c r="L44" s="12">
        <f t="shared" si="5"/>
        <v>5.67</v>
      </c>
      <c r="M44" s="12">
        <f t="shared" si="6"/>
        <v>4.8999999999999995</v>
      </c>
      <c r="N44" s="12">
        <f t="shared" si="7"/>
        <v>115.82000000000001</v>
      </c>
      <c r="P44" s="13"/>
    </row>
    <row r="45" spans="1:16" ht="14.5" x14ac:dyDescent="0.35">
      <c r="A45" s="8" t="s">
        <v>48</v>
      </c>
      <c r="B45" s="8">
        <v>20.100000000000001</v>
      </c>
      <c r="C45" s="9">
        <v>455.78</v>
      </c>
      <c r="D45" s="10">
        <f t="shared" si="4"/>
        <v>6.6000000000000003E-2</v>
      </c>
      <c r="E45" s="8">
        <f t="shared" si="4"/>
        <v>281.07</v>
      </c>
      <c r="F45" s="8">
        <f t="shared" si="4"/>
        <v>263.8</v>
      </c>
      <c r="G45" s="11">
        <f t="shared" si="4"/>
        <v>3.26</v>
      </c>
      <c r="H45" s="11">
        <f t="shared" si="4"/>
        <v>2.9</v>
      </c>
      <c r="I45" s="8">
        <f t="shared" si="4"/>
        <v>1.44</v>
      </c>
      <c r="J45" s="11">
        <f t="shared" si="4"/>
        <v>0.97199999999999998</v>
      </c>
      <c r="K45" s="11">
        <f t="shared" si="4"/>
        <v>0.72</v>
      </c>
      <c r="L45" s="12">
        <f t="shared" si="5"/>
        <v>5.67</v>
      </c>
      <c r="M45" s="12">
        <f t="shared" si="6"/>
        <v>4.8999999999999995</v>
      </c>
      <c r="N45" s="12">
        <f t="shared" si="7"/>
        <v>501.34</v>
      </c>
      <c r="P45" s="13"/>
    </row>
    <row r="46" spans="1:16" ht="14.5" x14ac:dyDescent="0.35">
      <c r="A46" s="8" t="s">
        <v>49</v>
      </c>
      <c r="B46" s="8">
        <v>20.85</v>
      </c>
      <c r="C46" s="9">
        <v>436.28</v>
      </c>
      <c r="D46" s="10">
        <f t="shared" si="4"/>
        <v>6.6000000000000003E-2</v>
      </c>
      <c r="E46" s="8">
        <f t="shared" si="4"/>
        <v>281.07</v>
      </c>
      <c r="F46" s="8">
        <f t="shared" si="4"/>
        <v>263.8</v>
      </c>
      <c r="G46" s="11">
        <f t="shared" si="4"/>
        <v>3.26</v>
      </c>
      <c r="H46" s="11">
        <f t="shared" si="4"/>
        <v>2.9</v>
      </c>
      <c r="I46" s="8">
        <f t="shared" si="4"/>
        <v>1.44</v>
      </c>
      <c r="J46" s="11">
        <f t="shared" si="4"/>
        <v>0.97199999999999998</v>
      </c>
      <c r="K46" s="11">
        <f t="shared" si="4"/>
        <v>0.72</v>
      </c>
      <c r="L46" s="12">
        <f t="shared" si="5"/>
        <v>5.67</v>
      </c>
      <c r="M46" s="12">
        <f t="shared" si="6"/>
        <v>4.8999999999999995</v>
      </c>
      <c r="N46" s="12">
        <f t="shared" si="7"/>
        <v>481.13</v>
      </c>
      <c r="P46" s="13"/>
    </row>
    <row r="47" spans="1:16" ht="14.5" x14ac:dyDescent="0.35">
      <c r="A47" s="8" t="s">
        <v>50</v>
      </c>
      <c r="B47" s="8">
        <v>4.46</v>
      </c>
      <c r="C47" s="9">
        <v>82.95</v>
      </c>
      <c r="D47" s="10">
        <f t="shared" si="4"/>
        <v>6.6000000000000003E-2</v>
      </c>
      <c r="E47" s="8">
        <f t="shared" si="4"/>
        <v>281.07</v>
      </c>
      <c r="F47" s="8">
        <f t="shared" si="4"/>
        <v>263.8</v>
      </c>
      <c r="G47" s="11">
        <f t="shared" si="4"/>
        <v>3.26</v>
      </c>
      <c r="H47" s="11">
        <f t="shared" si="4"/>
        <v>2.9</v>
      </c>
      <c r="I47" s="8">
        <f t="shared" si="4"/>
        <v>1.44</v>
      </c>
      <c r="J47" s="11">
        <f t="shared" si="4"/>
        <v>0.97199999999999998</v>
      </c>
      <c r="K47" s="11">
        <f t="shared" si="4"/>
        <v>0.72</v>
      </c>
      <c r="L47" s="12">
        <f t="shared" si="5"/>
        <v>5.67</v>
      </c>
      <c r="M47" s="12">
        <f t="shared" si="6"/>
        <v>4.8999999999999995</v>
      </c>
      <c r="N47" s="12">
        <f t="shared" si="7"/>
        <v>91.86</v>
      </c>
      <c r="P47" s="13"/>
    </row>
    <row r="48" spans="1:16" ht="14.5" x14ac:dyDescent="0.35">
      <c r="A48" s="8" t="s">
        <v>51</v>
      </c>
      <c r="B48" s="8">
        <v>10</v>
      </c>
      <c r="C48" s="9">
        <v>305.52999999999997</v>
      </c>
      <c r="D48" s="10">
        <f t="shared" si="4"/>
        <v>6.6000000000000003E-2</v>
      </c>
      <c r="E48" s="8">
        <f t="shared" si="4"/>
        <v>281.07</v>
      </c>
      <c r="F48" s="8">
        <f t="shared" si="4"/>
        <v>263.8</v>
      </c>
      <c r="G48" s="11">
        <v>1.48</v>
      </c>
      <c r="H48" s="11">
        <v>1.47</v>
      </c>
      <c r="I48" s="8">
        <f t="shared" si="4"/>
        <v>1.44</v>
      </c>
      <c r="J48" s="11">
        <f t="shared" si="4"/>
        <v>0.97199999999999998</v>
      </c>
      <c r="K48" s="11">
        <f t="shared" si="4"/>
        <v>0.72</v>
      </c>
      <c r="L48" s="12">
        <f t="shared" si="5"/>
        <v>3.11</v>
      </c>
      <c r="M48" s="12">
        <f t="shared" si="6"/>
        <v>2.84</v>
      </c>
      <c r="N48" s="12">
        <f t="shared" si="7"/>
        <v>328.4</v>
      </c>
      <c r="P48" s="13"/>
    </row>
    <row r="49" spans="1:16" ht="14.5" x14ac:dyDescent="0.35">
      <c r="A49" s="8" t="s">
        <v>52</v>
      </c>
      <c r="B49" s="8">
        <v>13.36</v>
      </c>
      <c r="C49" s="9">
        <v>240.14999999999998</v>
      </c>
      <c r="D49" s="10">
        <f t="shared" si="4"/>
        <v>6.6000000000000003E-2</v>
      </c>
      <c r="E49" s="8">
        <f t="shared" si="4"/>
        <v>281.07</v>
      </c>
      <c r="F49" s="8">
        <f t="shared" si="4"/>
        <v>263.8</v>
      </c>
      <c r="G49" s="11">
        <f t="shared" si="4"/>
        <v>3.26</v>
      </c>
      <c r="H49" s="11">
        <f t="shared" si="4"/>
        <v>2.9</v>
      </c>
      <c r="I49" s="8">
        <f t="shared" si="4"/>
        <v>1.44</v>
      </c>
      <c r="J49" s="11">
        <f t="shared" si="4"/>
        <v>0.97199999999999998</v>
      </c>
      <c r="K49" s="11">
        <f t="shared" si="4"/>
        <v>0.72</v>
      </c>
      <c r="L49" s="12">
        <f t="shared" si="5"/>
        <v>5.67</v>
      </c>
      <c r="M49" s="12">
        <f t="shared" si="6"/>
        <v>4.8999999999999995</v>
      </c>
      <c r="N49" s="12">
        <f t="shared" si="7"/>
        <v>266.28999999999996</v>
      </c>
      <c r="P49" s="13"/>
    </row>
    <row r="50" spans="1:16" ht="14.5" x14ac:dyDescent="0.35">
      <c r="A50" s="8" t="s">
        <v>53</v>
      </c>
      <c r="B50" s="8">
        <v>72</v>
      </c>
      <c r="C50" s="9">
        <v>855.24</v>
      </c>
      <c r="D50" s="10">
        <f t="shared" si="4"/>
        <v>6.6000000000000003E-2</v>
      </c>
      <c r="E50" s="8">
        <f t="shared" si="4"/>
        <v>281.07</v>
      </c>
      <c r="F50" s="8">
        <f t="shared" si="4"/>
        <v>263.8</v>
      </c>
      <c r="G50" s="11">
        <f t="shared" si="4"/>
        <v>3.26</v>
      </c>
      <c r="H50" s="11">
        <f t="shared" si="4"/>
        <v>2.9</v>
      </c>
      <c r="I50" s="8">
        <f t="shared" si="4"/>
        <v>1.44</v>
      </c>
      <c r="J50" s="11">
        <f t="shared" si="4"/>
        <v>0.97199999999999998</v>
      </c>
      <c r="K50" s="11">
        <f t="shared" si="4"/>
        <v>0.72</v>
      </c>
      <c r="L50" s="12">
        <f t="shared" si="5"/>
        <v>5.67</v>
      </c>
      <c r="M50" s="12">
        <f t="shared" si="6"/>
        <v>4.8999999999999995</v>
      </c>
      <c r="N50" s="12">
        <f t="shared" si="7"/>
        <v>967.13</v>
      </c>
      <c r="P50" s="13"/>
    </row>
    <row r="51" spans="1:16" ht="14.5" x14ac:dyDescent="0.35">
      <c r="A51" s="8" t="s">
        <v>54</v>
      </c>
      <c r="B51" s="8">
        <v>103.6</v>
      </c>
      <c r="C51" s="9">
        <v>1355.79</v>
      </c>
      <c r="D51" s="10">
        <f t="shared" si="4"/>
        <v>6.6000000000000003E-2</v>
      </c>
      <c r="E51" s="8">
        <f t="shared" si="4"/>
        <v>281.07</v>
      </c>
      <c r="F51" s="8">
        <f t="shared" si="4"/>
        <v>263.8</v>
      </c>
      <c r="G51" s="11">
        <f t="shared" si="4"/>
        <v>3.26</v>
      </c>
      <c r="H51" s="11">
        <f t="shared" si="4"/>
        <v>2.9</v>
      </c>
      <c r="I51" s="8">
        <f t="shared" si="4"/>
        <v>1.44</v>
      </c>
      <c r="J51" s="11">
        <f t="shared" si="4"/>
        <v>0.97199999999999998</v>
      </c>
      <c r="K51" s="11">
        <f t="shared" si="4"/>
        <v>0.72</v>
      </c>
      <c r="L51" s="12">
        <f t="shared" si="5"/>
        <v>5.67</v>
      </c>
      <c r="M51" s="12">
        <f t="shared" si="6"/>
        <v>4.8999999999999995</v>
      </c>
      <c r="N51" s="12">
        <f t="shared" si="7"/>
        <v>1525.05</v>
      </c>
      <c r="P51" s="13"/>
    </row>
    <row r="52" spans="1:16" ht="14.5" x14ac:dyDescent="0.35">
      <c r="A52" s="8" t="s">
        <v>55</v>
      </c>
      <c r="B52" s="8">
        <v>16.5</v>
      </c>
      <c r="C52" s="9">
        <v>278.27</v>
      </c>
      <c r="D52" s="10">
        <f t="shared" si="4"/>
        <v>6.6000000000000003E-2</v>
      </c>
      <c r="E52" s="8">
        <f t="shared" si="4"/>
        <v>281.07</v>
      </c>
      <c r="F52" s="8">
        <f t="shared" si="4"/>
        <v>263.8</v>
      </c>
      <c r="G52" s="11">
        <f t="shared" ref="D52:K88" si="8">G$2</f>
        <v>3.26</v>
      </c>
      <c r="H52" s="11">
        <f t="shared" si="8"/>
        <v>2.9</v>
      </c>
      <c r="I52" s="8">
        <f t="shared" si="8"/>
        <v>1.44</v>
      </c>
      <c r="J52" s="11">
        <f t="shared" si="8"/>
        <v>0.97199999999999998</v>
      </c>
      <c r="K52" s="11">
        <f t="shared" si="8"/>
        <v>0.72</v>
      </c>
      <c r="L52" s="12">
        <f t="shared" si="5"/>
        <v>5.67</v>
      </c>
      <c r="M52" s="12">
        <f t="shared" si="6"/>
        <v>4.8999999999999995</v>
      </c>
      <c r="N52" s="12">
        <f t="shared" si="7"/>
        <v>309.34999999999997</v>
      </c>
      <c r="P52" s="13"/>
    </row>
    <row r="53" spans="1:16" ht="14.5" x14ac:dyDescent="0.35">
      <c r="A53" s="8" t="s">
        <v>56</v>
      </c>
      <c r="B53" s="8">
        <v>31.78</v>
      </c>
      <c r="C53" s="9">
        <v>462.12</v>
      </c>
      <c r="D53" s="10">
        <f t="shared" si="8"/>
        <v>6.6000000000000003E-2</v>
      </c>
      <c r="E53" s="8">
        <f t="shared" si="8"/>
        <v>281.07</v>
      </c>
      <c r="F53" s="8">
        <f t="shared" si="8"/>
        <v>263.8</v>
      </c>
      <c r="G53" s="11">
        <f t="shared" si="8"/>
        <v>3.26</v>
      </c>
      <c r="H53" s="11">
        <f t="shared" si="8"/>
        <v>2.9</v>
      </c>
      <c r="I53" s="8">
        <f t="shared" si="8"/>
        <v>1.44</v>
      </c>
      <c r="J53" s="11">
        <f t="shared" si="8"/>
        <v>0.97199999999999998</v>
      </c>
      <c r="K53" s="11">
        <f t="shared" si="8"/>
        <v>0.72</v>
      </c>
      <c r="L53" s="12">
        <f t="shared" si="5"/>
        <v>5.67</v>
      </c>
      <c r="M53" s="12">
        <f t="shared" si="6"/>
        <v>4.8999999999999995</v>
      </c>
      <c r="N53" s="12">
        <f t="shared" si="7"/>
        <v>517.1</v>
      </c>
      <c r="P53" s="13"/>
    </row>
    <row r="54" spans="1:16" ht="14.5" x14ac:dyDescent="0.35">
      <c r="A54" s="8" t="s">
        <v>57</v>
      </c>
      <c r="B54" s="8">
        <v>13.54</v>
      </c>
      <c r="C54" s="9">
        <v>220.03</v>
      </c>
      <c r="D54" s="10">
        <f t="shared" si="8"/>
        <v>6.6000000000000003E-2</v>
      </c>
      <c r="E54" s="8">
        <f t="shared" si="8"/>
        <v>281.07</v>
      </c>
      <c r="F54" s="8">
        <f t="shared" si="8"/>
        <v>263.8</v>
      </c>
      <c r="G54" s="11">
        <f t="shared" si="8"/>
        <v>3.26</v>
      </c>
      <c r="H54" s="11">
        <f t="shared" si="8"/>
        <v>2.9</v>
      </c>
      <c r="I54" s="8">
        <f t="shared" si="8"/>
        <v>1.44</v>
      </c>
      <c r="J54" s="11">
        <f t="shared" si="8"/>
        <v>0.97199999999999998</v>
      </c>
      <c r="K54" s="11">
        <f t="shared" si="8"/>
        <v>0.72</v>
      </c>
      <c r="L54" s="12">
        <f t="shared" si="5"/>
        <v>5.67</v>
      </c>
      <c r="M54" s="12">
        <f t="shared" si="6"/>
        <v>4.8999999999999995</v>
      </c>
      <c r="N54" s="12">
        <f t="shared" si="7"/>
        <v>244.98</v>
      </c>
      <c r="P54" s="13"/>
    </row>
    <row r="55" spans="1:16" ht="14.5" x14ac:dyDescent="0.35">
      <c r="A55" s="8" t="s">
        <v>58</v>
      </c>
      <c r="B55" s="8">
        <v>32.36</v>
      </c>
      <c r="C55" s="9">
        <v>555.06999999999994</v>
      </c>
      <c r="D55" s="10">
        <f t="shared" si="8"/>
        <v>6.6000000000000003E-2</v>
      </c>
      <c r="E55" s="8">
        <f t="shared" si="8"/>
        <v>281.07</v>
      </c>
      <c r="F55" s="8">
        <f t="shared" si="8"/>
        <v>263.8</v>
      </c>
      <c r="G55" s="11">
        <f t="shared" si="8"/>
        <v>3.26</v>
      </c>
      <c r="H55" s="11">
        <f t="shared" si="8"/>
        <v>2.9</v>
      </c>
      <c r="I55" s="8">
        <f t="shared" si="8"/>
        <v>1.44</v>
      </c>
      <c r="J55" s="11">
        <f t="shared" si="8"/>
        <v>0.97199999999999998</v>
      </c>
      <c r="K55" s="11">
        <f t="shared" si="8"/>
        <v>0.72</v>
      </c>
      <c r="L55" s="12">
        <f t="shared" si="5"/>
        <v>5.67</v>
      </c>
      <c r="M55" s="12">
        <f t="shared" si="6"/>
        <v>4.8999999999999995</v>
      </c>
      <c r="N55" s="12">
        <f t="shared" si="7"/>
        <v>616.63</v>
      </c>
      <c r="P55" s="13"/>
    </row>
    <row r="56" spans="1:16" ht="14.5" x14ac:dyDescent="0.35">
      <c r="A56" s="8" t="s">
        <v>59</v>
      </c>
      <c r="B56" s="8">
        <v>49</v>
      </c>
      <c r="C56" s="9">
        <v>731.05</v>
      </c>
      <c r="D56" s="10">
        <f t="shared" si="8"/>
        <v>6.6000000000000003E-2</v>
      </c>
      <c r="E56" s="8">
        <f t="shared" si="8"/>
        <v>281.07</v>
      </c>
      <c r="F56" s="8">
        <f t="shared" si="8"/>
        <v>263.8</v>
      </c>
      <c r="G56" s="11">
        <f t="shared" si="8"/>
        <v>3.26</v>
      </c>
      <c r="H56" s="11">
        <f t="shared" si="8"/>
        <v>2.9</v>
      </c>
      <c r="I56" s="8">
        <f t="shared" si="8"/>
        <v>1.44</v>
      </c>
      <c r="J56" s="11">
        <f t="shared" si="8"/>
        <v>0.97199999999999998</v>
      </c>
      <c r="K56" s="11">
        <f t="shared" si="8"/>
        <v>0.72</v>
      </c>
      <c r="L56" s="12">
        <f t="shared" si="5"/>
        <v>5.67</v>
      </c>
      <c r="M56" s="12">
        <f t="shared" si="6"/>
        <v>4.8999999999999995</v>
      </c>
      <c r="N56" s="12">
        <f t="shared" si="7"/>
        <v>817.03</v>
      </c>
      <c r="P56" s="13"/>
    </row>
    <row r="57" spans="1:16" ht="14.5" x14ac:dyDescent="0.35">
      <c r="A57" s="8" t="s">
        <v>60</v>
      </c>
      <c r="B57" s="8">
        <v>32.9</v>
      </c>
      <c r="C57" s="9">
        <v>1095.96</v>
      </c>
      <c r="D57" s="10">
        <f t="shared" si="8"/>
        <v>6.6000000000000003E-2</v>
      </c>
      <c r="E57" s="8">
        <f t="shared" si="8"/>
        <v>281.07</v>
      </c>
      <c r="F57" s="8">
        <f t="shared" si="8"/>
        <v>263.8</v>
      </c>
      <c r="G57" s="11">
        <f t="shared" si="8"/>
        <v>3.26</v>
      </c>
      <c r="H57" s="11">
        <f t="shared" si="8"/>
        <v>2.9</v>
      </c>
      <c r="I57" s="8">
        <f t="shared" si="8"/>
        <v>1.44</v>
      </c>
      <c r="J57" s="11">
        <f t="shared" si="8"/>
        <v>0.97199999999999998</v>
      </c>
      <c r="K57" s="11">
        <f t="shared" si="8"/>
        <v>0.72</v>
      </c>
      <c r="L57" s="12">
        <f t="shared" si="5"/>
        <v>5.67</v>
      </c>
      <c r="M57" s="12">
        <f t="shared" si="6"/>
        <v>4.8999999999999995</v>
      </c>
      <c r="N57" s="12">
        <f t="shared" si="7"/>
        <v>1193.6299999999999</v>
      </c>
      <c r="P57" s="13"/>
    </row>
    <row r="58" spans="1:16" ht="14.5" x14ac:dyDescent="0.35">
      <c r="A58" s="8" t="s">
        <v>61</v>
      </c>
      <c r="B58" s="8">
        <v>17.86</v>
      </c>
      <c r="C58" s="9">
        <v>842.66</v>
      </c>
      <c r="D58" s="10">
        <f t="shared" si="8"/>
        <v>6.6000000000000003E-2</v>
      </c>
      <c r="E58" s="8">
        <f t="shared" si="8"/>
        <v>281.07</v>
      </c>
      <c r="F58" s="8">
        <f t="shared" si="8"/>
        <v>263.8</v>
      </c>
      <c r="G58" s="11">
        <f t="shared" si="8"/>
        <v>3.26</v>
      </c>
      <c r="H58" s="11">
        <f t="shared" si="8"/>
        <v>2.9</v>
      </c>
      <c r="I58" s="8">
        <f t="shared" si="8"/>
        <v>1.44</v>
      </c>
      <c r="J58" s="11">
        <f t="shared" si="8"/>
        <v>0.97199999999999998</v>
      </c>
      <c r="K58" s="11">
        <f t="shared" si="8"/>
        <v>0.72</v>
      </c>
      <c r="L58" s="12">
        <f t="shared" si="5"/>
        <v>5.67</v>
      </c>
      <c r="M58" s="12">
        <f t="shared" si="6"/>
        <v>4.8999999999999995</v>
      </c>
      <c r="N58" s="12">
        <f t="shared" si="7"/>
        <v>912.03</v>
      </c>
      <c r="P58" s="13"/>
    </row>
    <row r="59" spans="1:16" ht="14.5" x14ac:dyDescent="0.35">
      <c r="A59" s="8" t="s">
        <v>62</v>
      </c>
      <c r="B59" s="8">
        <v>9.5500000000000007</v>
      </c>
      <c r="C59" s="9">
        <v>219.92</v>
      </c>
      <c r="D59" s="10">
        <f t="shared" si="8"/>
        <v>6.6000000000000003E-2</v>
      </c>
      <c r="E59" s="8">
        <f t="shared" si="8"/>
        <v>281.07</v>
      </c>
      <c r="F59" s="8">
        <f t="shared" si="8"/>
        <v>263.8</v>
      </c>
      <c r="G59" s="11">
        <f t="shared" si="8"/>
        <v>3.26</v>
      </c>
      <c r="H59" s="11">
        <f t="shared" si="8"/>
        <v>2.9</v>
      </c>
      <c r="I59" s="8">
        <f t="shared" si="8"/>
        <v>1.44</v>
      </c>
      <c r="J59" s="11">
        <f t="shared" si="8"/>
        <v>0.97199999999999998</v>
      </c>
      <c r="K59" s="11">
        <f t="shared" si="8"/>
        <v>0.72</v>
      </c>
      <c r="L59" s="12">
        <f t="shared" si="5"/>
        <v>5.67</v>
      </c>
      <c r="M59" s="12">
        <f t="shared" si="6"/>
        <v>4.8999999999999995</v>
      </c>
      <c r="N59" s="12">
        <f t="shared" si="7"/>
        <v>241.79</v>
      </c>
      <c r="P59" s="13"/>
    </row>
    <row r="60" spans="1:16" ht="14.5" x14ac:dyDescent="0.35">
      <c r="A60" s="8" t="s">
        <v>63</v>
      </c>
      <c r="B60" s="8">
        <v>7.8</v>
      </c>
      <c r="C60" s="9">
        <v>290.32</v>
      </c>
      <c r="D60" s="10">
        <f t="shared" si="8"/>
        <v>6.6000000000000003E-2</v>
      </c>
      <c r="E60" s="8">
        <f t="shared" si="8"/>
        <v>281.07</v>
      </c>
      <c r="F60" s="8">
        <f t="shared" si="8"/>
        <v>263.8</v>
      </c>
      <c r="G60" s="11">
        <f t="shared" si="8"/>
        <v>3.26</v>
      </c>
      <c r="H60" s="11">
        <f t="shared" si="8"/>
        <v>2.9</v>
      </c>
      <c r="I60" s="8">
        <f t="shared" si="8"/>
        <v>1.44</v>
      </c>
      <c r="J60" s="11">
        <f t="shared" si="8"/>
        <v>0.97199999999999998</v>
      </c>
      <c r="K60" s="11">
        <f t="shared" si="8"/>
        <v>0.72</v>
      </c>
      <c r="L60" s="12">
        <f t="shared" si="5"/>
        <v>5.67</v>
      </c>
      <c r="M60" s="12">
        <f t="shared" si="6"/>
        <v>4.8999999999999995</v>
      </c>
      <c r="N60" s="12">
        <f t="shared" si="7"/>
        <v>315.49</v>
      </c>
      <c r="P60" s="13"/>
    </row>
    <row r="61" spans="1:16" ht="14.5" x14ac:dyDescent="0.35">
      <c r="A61" s="8" t="s">
        <v>64</v>
      </c>
      <c r="B61" s="8">
        <v>3.5</v>
      </c>
      <c r="C61" s="9">
        <v>247.76</v>
      </c>
      <c r="D61" s="10">
        <f t="shared" si="8"/>
        <v>6.6000000000000003E-2</v>
      </c>
      <c r="E61" s="8">
        <f t="shared" si="8"/>
        <v>281.07</v>
      </c>
      <c r="F61" s="8">
        <f t="shared" si="8"/>
        <v>263.8</v>
      </c>
      <c r="G61" s="11">
        <f t="shared" si="8"/>
        <v>3.26</v>
      </c>
      <c r="H61" s="11">
        <f t="shared" si="8"/>
        <v>2.9</v>
      </c>
      <c r="I61" s="8">
        <f t="shared" si="8"/>
        <v>1.44</v>
      </c>
      <c r="J61" s="11">
        <f t="shared" si="8"/>
        <v>0.97199999999999998</v>
      </c>
      <c r="K61" s="11">
        <f t="shared" si="8"/>
        <v>0.72</v>
      </c>
      <c r="L61" s="12">
        <f t="shared" si="5"/>
        <v>5.67</v>
      </c>
      <c r="M61" s="12">
        <f t="shared" si="6"/>
        <v>4.8999999999999995</v>
      </c>
      <c r="N61" s="12">
        <f t="shared" si="7"/>
        <v>266.81</v>
      </c>
      <c r="P61" s="13"/>
    </row>
    <row r="62" spans="1:16" ht="14.5" x14ac:dyDescent="0.35">
      <c r="A62" s="8" t="s">
        <v>65</v>
      </c>
      <c r="B62" s="8">
        <v>4.0999999999999996</v>
      </c>
      <c r="C62" s="9">
        <v>876.87</v>
      </c>
      <c r="D62" s="10">
        <f t="shared" si="8"/>
        <v>6.6000000000000003E-2</v>
      </c>
      <c r="E62" s="8">
        <f t="shared" si="8"/>
        <v>281.07</v>
      </c>
      <c r="F62" s="8">
        <f t="shared" si="8"/>
        <v>263.8</v>
      </c>
      <c r="G62" s="11">
        <f t="shared" si="8"/>
        <v>3.26</v>
      </c>
      <c r="H62" s="11">
        <f t="shared" si="8"/>
        <v>2.9</v>
      </c>
      <c r="I62" s="8">
        <f t="shared" si="8"/>
        <v>1.44</v>
      </c>
      <c r="J62" s="11">
        <f t="shared" si="8"/>
        <v>0.97199999999999998</v>
      </c>
      <c r="K62" s="11">
        <f t="shared" si="8"/>
        <v>0.72</v>
      </c>
      <c r="L62" s="12">
        <f t="shared" si="5"/>
        <v>5.67</v>
      </c>
      <c r="M62" s="12">
        <f t="shared" si="6"/>
        <v>4.8999999999999995</v>
      </c>
      <c r="N62" s="12">
        <f t="shared" si="7"/>
        <v>937.91</v>
      </c>
      <c r="P62" s="13"/>
    </row>
    <row r="63" spans="1:16" ht="14.5" x14ac:dyDescent="0.35">
      <c r="A63" s="8" t="s">
        <v>66</v>
      </c>
      <c r="B63" s="8">
        <v>16.25</v>
      </c>
      <c r="C63" s="9">
        <v>313.7</v>
      </c>
      <c r="D63" s="10">
        <f t="shared" si="8"/>
        <v>6.6000000000000003E-2</v>
      </c>
      <c r="E63" s="8">
        <f t="shared" si="8"/>
        <v>281.07</v>
      </c>
      <c r="F63" s="8">
        <f t="shared" si="8"/>
        <v>263.8</v>
      </c>
      <c r="G63" s="11">
        <f t="shared" si="8"/>
        <v>3.26</v>
      </c>
      <c r="H63" s="11">
        <f t="shared" si="8"/>
        <v>2.9</v>
      </c>
      <c r="I63" s="8">
        <f t="shared" si="8"/>
        <v>1.44</v>
      </c>
      <c r="J63" s="11">
        <f t="shared" si="8"/>
        <v>0.97199999999999998</v>
      </c>
      <c r="K63" s="11">
        <f t="shared" si="8"/>
        <v>0.72</v>
      </c>
      <c r="L63" s="12">
        <f t="shared" si="5"/>
        <v>5.67</v>
      </c>
      <c r="M63" s="12">
        <f t="shared" si="6"/>
        <v>4.8999999999999995</v>
      </c>
      <c r="N63" s="12">
        <f t="shared" si="7"/>
        <v>346.92</v>
      </c>
      <c r="P63" s="13"/>
    </row>
    <row r="64" spans="1:16" ht="14.5" x14ac:dyDescent="0.35">
      <c r="A64" s="8" t="s">
        <v>67</v>
      </c>
      <c r="B64" s="8">
        <v>18.68</v>
      </c>
      <c r="C64" s="9">
        <v>346.84999999999997</v>
      </c>
      <c r="D64" s="10">
        <f t="shared" si="8"/>
        <v>6.6000000000000003E-2</v>
      </c>
      <c r="E64" s="8">
        <f t="shared" si="8"/>
        <v>281.07</v>
      </c>
      <c r="F64" s="8">
        <f t="shared" si="8"/>
        <v>263.8</v>
      </c>
      <c r="G64" s="11">
        <f t="shared" si="8"/>
        <v>3.26</v>
      </c>
      <c r="H64" s="11">
        <f t="shared" si="8"/>
        <v>2.9</v>
      </c>
      <c r="I64" s="8">
        <f t="shared" si="8"/>
        <v>1.44</v>
      </c>
      <c r="J64" s="11">
        <f t="shared" si="8"/>
        <v>0.97199999999999998</v>
      </c>
      <c r="K64" s="11">
        <f t="shared" si="8"/>
        <v>0.72</v>
      </c>
      <c r="L64" s="12">
        <f t="shared" si="5"/>
        <v>5.67</v>
      </c>
      <c r="M64" s="12">
        <f t="shared" si="6"/>
        <v>4.8999999999999995</v>
      </c>
      <c r="N64" s="12">
        <f t="shared" si="7"/>
        <v>384.13</v>
      </c>
      <c r="P64" s="13"/>
    </row>
    <row r="65" spans="1:16" ht="14.5" x14ac:dyDescent="0.35">
      <c r="A65" s="8" t="s">
        <v>68</v>
      </c>
      <c r="B65" s="8">
        <v>16.25</v>
      </c>
      <c r="C65" s="9">
        <v>1181.1199999999999</v>
      </c>
      <c r="D65" s="10">
        <f t="shared" si="8"/>
        <v>6.6000000000000003E-2</v>
      </c>
      <c r="E65" s="8">
        <f t="shared" si="8"/>
        <v>281.07</v>
      </c>
      <c r="F65" s="8">
        <f t="shared" si="8"/>
        <v>263.8</v>
      </c>
      <c r="G65" s="11">
        <f t="shared" si="8"/>
        <v>3.26</v>
      </c>
      <c r="H65" s="11">
        <f t="shared" si="8"/>
        <v>2.9</v>
      </c>
      <c r="I65" s="8">
        <f t="shared" si="8"/>
        <v>1.44</v>
      </c>
      <c r="J65" s="11">
        <f t="shared" si="8"/>
        <v>0.97199999999999998</v>
      </c>
      <c r="K65" s="11">
        <f t="shared" si="8"/>
        <v>0.72</v>
      </c>
      <c r="L65" s="12">
        <f t="shared" si="5"/>
        <v>5.67</v>
      </c>
      <c r="M65" s="12">
        <f t="shared" si="6"/>
        <v>4.8999999999999995</v>
      </c>
      <c r="N65" s="12">
        <f t="shared" si="7"/>
        <v>1271.5899999999999</v>
      </c>
      <c r="P65" s="13"/>
    </row>
    <row r="66" spans="1:16" ht="14.5" x14ac:dyDescent="0.35">
      <c r="A66" s="15" t="s">
        <v>69</v>
      </c>
      <c r="B66" s="8">
        <v>3.85</v>
      </c>
      <c r="C66" s="9">
        <v>107.75</v>
      </c>
      <c r="D66" s="10">
        <f t="shared" si="8"/>
        <v>6.6000000000000003E-2</v>
      </c>
      <c r="E66" s="8">
        <f t="shared" si="8"/>
        <v>281.07</v>
      </c>
      <c r="F66" s="8">
        <f t="shared" si="8"/>
        <v>263.8</v>
      </c>
      <c r="G66" s="11">
        <f t="shared" si="8"/>
        <v>3.26</v>
      </c>
      <c r="H66" s="11">
        <f t="shared" si="8"/>
        <v>2.9</v>
      </c>
      <c r="I66" s="8">
        <f t="shared" si="8"/>
        <v>1.44</v>
      </c>
      <c r="J66" s="11">
        <f t="shared" si="8"/>
        <v>0.97199999999999998</v>
      </c>
      <c r="K66" s="11">
        <f t="shared" si="8"/>
        <v>0.72</v>
      </c>
      <c r="L66" s="12">
        <f t="shared" ref="L66:L75" si="9">ROUNDUP(((G66*I66)+J66),2)</f>
        <v>5.67</v>
      </c>
      <c r="M66" s="12">
        <f t="shared" ref="M66:M75" si="10">ROUNDUP(((H66*I66)+K66),2)</f>
        <v>4.8999999999999995</v>
      </c>
      <c r="N66" s="12">
        <f t="shared" ref="N66:N75" si="11">ROUNDUP((C66+((L66-M66)*B66)+(D66*C66)),2)</f>
        <v>117.83</v>
      </c>
      <c r="P66" s="13"/>
    </row>
    <row r="67" spans="1:16" ht="14.5" x14ac:dyDescent="0.35">
      <c r="A67" s="8" t="s">
        <v>70</v>
      </c>
      <c r="B67" s="8">
        <v>18.68</v>
      </c>
      <c r="C67" s="9">
        <v>350.71</v>
      </c>
      <c r="D67" s="10">
        <f t="shared" si="8"/>
        <v>6.6000000000000003E-2</v>
      </c>
      <c r="E67" s="8">
        <f t="shared" si="8"/>
        <v>281.07</v>
      </c>
      <c r="F67" s="8">
        <f t="shared" si="8"/>
        <v>263.8</v>
      </c>
      <c r="G67" s="11">
        <f t="shared" si="8"/>
        <v>3.26</v>
      </c>
      <c r="H67" s="11">
        <f t="shared" si="8"/>
        <v>2.9</v>
      </c>
      <c r="I67" s="8">
        <f t="shared" si="8"/>
        <v>1.44</v>
      </c>
      <c r="J67" s="11">
        <f t="shared" si="8"/>
        <v>0.97199999999999998</v>
      </c>
      <c r="K67" s="11">
        <f t="shared" si="8"/>
        <v>0.72</v>
      </c>
      <c r="L67" s="12">
        <f t="shared" si="9"/>
        <v>5.67</v>
      </c>
      <c r="M67" s="12">
        <f t="shared" si="10"/>
        <v>4.8999999999999995</v>
      </c>
      <c r="N67" s="12">
        <f t="shared" si="11"/>
        <v>388.25</v>
      </c>
      <c r="P67" s="13"/>
    </row>
    <row r="68" spans="1:16" ht="14.5" x14ac:dyDescent="0.35">
      <c r="A68" s="8" t="s">
        <v>71</v>
      </c>
      <c r="B68" s="8">
        <v>3.9</v>
      </c>
      <c r="C68" s="9">
        <v>119.18</v>
      </c>
      <c r="D68" s="10">
        <f t="shared" si="8"/>
        <v>6.6000000000000003E-2</v>
      </c>
      <c r="E68" s="8">
        <f t="shared" si="8"/>
        <v>281.07</v>
      </c>
      <c r="F68" s="8">
        <f t="shared" si="8"/>
        <v>263.8</v>
      </c>
      <c r="G68" s="11">
        <f t="shared" si="8"/>
        <v>3.26</v>
      </c>
      <c r="H68" s="11">
        <f t="shared" si="8"/>
        <v>2.9</v>
      </c>
      <c r="I68" s="8">
        <f t="shared" si="8"/>
        <v>1.44</v>
      </c>
      <c r="J68" s="11">
        <f t="shared" si="8"/>
        <v>0.97199999999999998</v>
      </c>
      <c r="K68" s="11">
        <f t="shared" si="8"/>
        <v>0.72</v>
      </c>
      <c r="L68" s="12">
        <f t="shared" si="9"/>
        <v>5.67</v>
      </c>
      <c r="M68" s="12">
        <f t="shared" si="10"/>
        <v>4.8999999999999995</v>
      </c>
      <c r="N68" s="12">
        <f t="shared" si="11"/>
        <v>130.04999999999998</v>
      </c>
      <c r="P68" s="13"/>
    </row>
    <row r="69" spans="1:16" ht="14.5" x14ac:dyDescent="0.35">
      <c r="A69" s="8" t="s">
        <v>72</v>
      </c>
      <c r="B69" s="8">
        <v>4.5999999999999996</v>
      </c>
      <c r="C69" s="9">
        <v>251.14</v>
      </c>
      <c r="D69" s="10">
        <f t="shared" si="8"/>
        <v>6.6000000000000003E-2</v>
      </c>
      <c r="E69" s="8">
        <f t="shared" si="8"/>
        <v>281.07</v>
      </c>
      <c r="F69" s="8">
        <f t="shared" si="8"/>
        <v>263.8</v>
      </c>
      <c r="G69" s="11">
        <f t="shared" si="8"/>
        <v>3.26</v>
      </c>
      <c r="H69" s="11">
        <f t="shared" si="8"/>
        <v>2.9</v>
      </c>
      <c r="I69" s="8">
        <f t="shared" si="8"/>
        <v>1.44</v>
      </c>
      <c r="J69" s="11">
        <f t="shared" si="8"/>
        <v>0.97199999999999998</v>
      </c>
      <c r="K69" s="11">
        <f t="shared" si="8"/>
        <v>0.72</v>
      </c>
      <c r="L69" s="12">
        <f t="shared" si="9"/>
        <v>5.67</v>
      </c>
      <c r="M69" s="12">
        <f t="shared" si="10"/>
        <v>4.8999999999999995</v>
      </c>
      <c r="N69" s="12">
        <f t="shared" si="11"/>
        <v>271.26</v>
      </c>
      <c r="P69" s="13"/>
    </row>
    <row r="70" spans="1:16" ht="14.5" x14ac:dyDescent="0.35">
      <c r="A70" s="8" t="s">
        <v>73</v>
      </c>
      <c r="B70" s="8">
        <v>4.5999999999999996</v>
      </c>
      <c r="C70" s="9">
        <v>359.21999999999997</v>
      </c>
      <c r="D70" s="10">
        <f t="shared" si="8"/>
        <v>6.6000000000000003E-2</v>
      </c>
      <c r="E70" s="8">
        <f t="shared" si="8"/>
        <v>281.07</v>
      </c>
      <c r="F70" s="8">
        <f t="shared" si="8"/>
        <v>263.8</v>
      </c>
      <c r="G70" s="11">
        <f t="shared" si="8"/>
        <v>3.26</v>
      </c>
      <c r="H70" s="11">
        <f t="shared" si="8"/>
        <v>2.9</v>
      </c>
      <c r="I70" s="8">
        <f t="shared" si="8"/>
        <v>1.44</v>
      </c>
      <c r="J70" s="11">
        <f t="shared" si="8"/>
        <v>0.97199999999999998</v>
      </c>
      <c r="K70" s="11">
        <f t="shared" si="8"/>
        <v>0.72</v>
      </c>
      <c r="L70" s="12">
        <f t="shared" si="9"/>
        <v>5.67</v>
      </c>
      <c r="M70" s="12">
        <f t="shared" si="10"/>
        <v>4.8999999999999995</v>
      </c>
      <c r="N70" s="12">
        <f t="shared" si="11"/>
        <v>386.48</v>
      </c>
      <c r="P70" s="13"/>
    </row>
    <row r="71" spans="1:16" ht="14.5" x14ac:dyDescent="0.35">
      <c r="A71" s="8" t="s">
        <v>74</v>
      </c>
      <c r="B71" s="8">
        <v>4.5999999999999996</v>
      </c>
      <c r="C71" s="9">
        <v>341.3</v>
      </c>
      <c r="D71" s="10">
        <f t="shared" si="8"/>
        <v>6.6000000000000003E-2</v>
      </c>
      <c r="E71" s="8">
        <f t="shared" si="8"/>
        <v>281.07</v>
      </c>
      <c r="F71" s="8">
        <f t="shared" si="8"/>
        <v>263.8</v>
      </c>
      <c r="G71" s="11">
        <f t="shared" si="8"/>
        <v>3.26</v>
      </c>
      <c r="H71" s="11">
        <f t="shared" si="8"/>
        <v>2.9</v>
      </c>
      <c r="I71" s="8">
        <f t="shared" si="8"/>
        <v>1.44</v>
      </c>
      <c r="J71" s="11">
        <f t="shared" si="8"/>
        <v>0.97199999999999998</v>
      </c>
      <c r="K71" s="11">
        <f t="shared" si="8"/>
        <v>0.72</v>
      </c>
      <c r="L71" s="12">
        <f t="shared" si="9"/>
        <v>5.67</v>
      </c>
      <c r="M71" s="12">
        <f t="shared" si="10"/>
        <v>4.8999999999999995</v>
      </c>
      <c r="N71" s="12">
        <f t="shared" si="11"/>
        <v>367.37</v>
      </c>
      <c r="P71" s="13"/>
    </row>
    <row r="72" spans="1:16" ht="14.5" x14ac:dyDescent="0.35">
      <c r="A72" s="8" t="s">
        <v>75</v>
      </c>
      <c r="B72" s="8">
        <v>4.5999999999999996</v>
      </c>
      <c r="C72" s="9">
        <v>816.75</v>
      </c>
      <c r="D72" s="10">
        <f t="shared" si="8"/>
        <v>6.6000000000000003E-2</v>
      </c>
      <c r="E72" s="8">
        <f t="shared" si="8"/>
        <v>281.07</v>
      </c>
      <c r="F72" s="8">
        <f t="shared" si="8"/>
        <v>263.8</v>
      </c>
      <c r="G72" s="11">
        <f t="shared" si="8"/>
        <v>3.26</v>
      </c>
      <c r="H72" s="11">
        <f t="shared" si="8"/>
        <v>2.9</v>
      </c>
      <c r="I72" s="8">
        <f t="shared" si="8"/>
        <v>1.44</v>
      </c>
      <c r="J72" s="11">
        <f t="shared" si="8"/>
        <v>0.97199999999999998</v>
      </c>
      <c r="K72" s="11">
        <f t="shared" si="8"/>
        <v>0.72</v>
      </c>
      <c r="L72" s="12">
        <f t="shared" si="9"/>
        <v>5.67</v>
      </c>
      <c r="M72" s="12">
        <f t="shared" si="10"/>
        <v>4.8999999999999995</v>
      </c>
      <c r="N72" s="12">
        <f t="shared" si="11"/>
        <v>874.2</v>
      </c>
      <c r="P72" s="13"/>
    </row>
    <row r="73" spans="1:16" ht="14.5" x14ac:dyDescent="0.35">
      <c r="A73" s="8" t="s">
        <v>76</v>
      </c>
      <c r="B73" s="8">
        <v>21.5</v>
      </c>
      <c r="C73" s="9">
        <v>2375.4900000000002</v>
      </c>
      <c r="D73" s="10">
        <f t="shared" si="8"/>
        <v>6.6000000000000003E-2</v>
      </c>
      <c r="E73" s="8">
        <f t="shared" si="8"/>
        <v>281.07</v>
      </c>
      <c r="F73" s="8">
        <f t="shared" si="8"/>
        <v>263.8</v>
      </c>
      <c r="G73" s="11">
        <f t="shared" si="8"/>
        <v>3.26</v>
      </c>
      <c r="H73" s="11">
        <f t="shared" si="8"/>
        <v>2.9</v>
      </c>
      <c r="I73" s="8">
        <f t="shared" si="8"/>
        <v>1.44</v>
      </c>
      <c r="J73" s="11">
        <f t="shared" si="8"/>
        <v>0.97199999999999998</v>
      </c>
      <c r="K73" s="11">
        <f t="shared" si="8"/>
        <v>0.72</v>
      </c>
      <c r="L73" s="12">
        <f t="shared" si="9"/>
        <v>5.67</v>
      </c>
      <c r="M73" s="12">
        <f t="shared" si="10"/>
        <v>4.8999999999999995</v>
      </c>
      <c r="N73" s="12">
        <f t="shared" si="11"/>
        <v>2548.8300000000004</v>
      </c>
      <c r="P73" s="13"/>
    </row>
    <row r="74" spans="1:16" ht="14.5" x14ac:dyDescent="0.35">
      <c r="A74" s="8" t="s">
        <v>77</v>
      </c>
      <c r="B74" s="8">
        <v>25.6</v>
      </c>
      <c r="C74" s="9">
        <v>2154.46</v>
      </c>
      <c r="D74" s="10">
        <f t="shared" si="8"/>
        <v>6.6000000000000003E-2</v>
      </c>
      <c r="E74" s="8">
        <f t="shared" si="8"/>
        <v>281.07</v>
      </c>
      <c r="F74" s="8">
        <f t="shared" si="8"/>
        <v>263.8</v>
      </c>
      <c r="G74" s="11">
        <f t="shared" si="8"/>
        <v>3.26</v>
      </c>
      <c r="H74" s="11">
        <f t="shared" si="8"/>
        <v>2.9</v>
      </c>
      <c r="I74" s="8">
        <f t="shared" si="8"/>
        <v>1.44</v>
      </c>
      <c r="J74" s="11">
        <f t="shared" si="8"/>
        <v>0.97199999999999998</v>
      </c>
      <c r="K74" s="11">
        <f t="shared" si="8"/>
        <v>0.72</v>
      </c>
      <c r="L74" s="12">
        <f t="shared" si="9"/>
        <v>5.67</v>
      </c>
      <c r="M74" s="12">
        <f t="shared" si="10"/>
        <v>4.8999999999999995</v>
      </c>
      <c r="N74" s="12">
        <f t="shared" si="11"/>
        <v>2316.3700000000003</v>
      </c>
      <c r="P74" s="13"/>
    </row>
    <row r="75" spans="1:16" ht="14.5" x14ac:dyDescent="0.35">
      <c r="A75" s="8" t="s">
        <v>78</v>
      </c>
      <c r="B75" s="8">
        <v>16.25</v>
      </c>
      <c r="C75" s="9">
        <v>313.96999999999997</v>
      </c>
      <c r="D75" s="10">
        <f t="shared" si="8"/>
        <v>6.6000000000000003E-2</v>
      </c>
      <c r="E75" s="8">
        <f t="shared" si="8"/>
        <v>281.07</v>
      </c>
      <c r="F75" s="8">
        <f t="shared" si="8"/>
        <v>263.8</v>
      </c>
      <c r="G75" s="11">
        <f t="shared" si="8"/>
        <v>3.26</v>
      </c>
      <c r="H75" s="11">
        <f t="shared" si="8"/>
        <v>2.9</v>
      </c>
      <c r="I75" s="8">
        <f t="shared" si="8"/>
        <v>1.44</v>
      </c>
      <c r="J75" s="11">
        <f t="shared" si="8"/>
        <v>0.97199999999999998</v>
      </c>
      <c r="K75" s="11">
        <f t="shared" si="8"/>
        <v>0.72</v>
      </c>
      <c r="L75" s="12">
        <f t="shared" si="9"/>
        <v>5.67</v>
      </c>
      <c r="M75" s="12">
        <f t="shared" si="10"/>
        <v>4.8999999999999995</v>
      </c>
      <c r="N75" s="12">
        <f t="shared" si="11"/>
        <v>347.21</v>
      </c>
      <c r="P75" s="13"/>
    </row>
    <row r="76" spans="1:16" ht="14.5" x14ac:dyDescent="0.35">
      <c r="A76" s="8" t="s">
        <v>79</v>
      </c>
      <c r="B76" s="8">
        <v>3.25</v>
      </c>
      <c r="C76" s="9">
        <v>80.08</v>
      </c>
      <c r="D76" s="10">
        <f t="shared" si="8"/>
        <v>6.6000000000000003E-2</v>
      </c>
      <c r="E76" s="8">
        <f t="shared" si="8"/>
        <v>281.07</v>
      </c>
      <c r="F76" s="8">
        <f t="shared" si="8"/>
        <v>263.8</v>
      </c>
      <c r="G76" s="11">
        <f t="shared" si="8"/>
        <v>3.26</v>
      </c>
      <c r="H76" s="11">
        <f t="shared" si="8"/>
        <v>2.9</v>
      </c>
      <c r="I76" s="8">
        <f t="shared" si="8"/>
        <v>1.44</v>
      </c>
      <c r="J76" s="11">
        <f t="shared" si="8"/>
        <v>0.97199999999999998</v>
      </c>
      <c r="K76" s="11">
        <f t="shared" si="8"/>
        <v>0.72</v>
      </c>
      <c r="L76" s="12">
        <f>ROUNDUP(((G76*I76)+J76),2)</f>
        <v>5.67</v>
      </c>
      <c r="M76" s="12">
        <f>ROUNDUP(((H76*I76)+K76),2)</f>
        <v>4.8999999999999995</v>
      </c>
      <c r="N76" s="12">
        <f>ROUNDUP((C76+((L76-M76)*B76)+(D76*C76)),2)</f>
        <v>87.87</v>
      </c>
      <c r="P76" s="13"/>
    </row>
    <row r="77" spans="1:16" ht="14.5" x14ac:dyDescent="0.35">
      <c r="A77" s="8">
        <v>221240</v>
      </c>
      <c r="B77" s="8">
        <v>0.46</v>
      </c>
      <c r="C77" s="9">
        <v>11.95</v>
      </c>
      <c r="D77" s="10">
        <f t="shared" ref="D77:K113" si="12">D$2</f>
        <v>6.6000000000000003E-2</v>
      </c>
      <c r="E77" s="8">
        <f t="shared" si="12"/>
        <v>281.07</v>
      </c>
      <c r="F77" s="8">
        <f t="shared" si="12"/>
        <v>263.8</v>
      </c>
      <c r="G77" s="11">
        <f t="shared" si="12"/>
        <v>3.26</v>
      </c>
      <c r="H77" s="11">
        <f t="shared" si="12"/>
        <v>2.9</v>
      </c>
      <c r="I77" s="8">
        <f t="shared" si="8"/>
        <v>1.44</v>
      </c>
      <c r="J77" s="11">
        <f t="shared" si="8"/>
        <v>0.97199999999999998</v>
      </c>
      <c r="K77" s="11">
        <f t="shared" si="8"/>
        <v>0.72</v>
      </c>
      <c r="L77" s="12">
        <f>ROUNDUP(((G77*I77)+J77),2)</f>
        <v>5.67</v>
      </c>
      <c r="M77" s="12">
        <f>ROUNDUP(((H77*I77)+K77),2)</f>
        <v>4.8999999999999995</v>
      </c>
      <c r="N77" s="12">
        <f>ROUNDUP((C77+((L77-M77)*B77)+(D77*C77)),2)</f>
        <v>13.1</v>
      </c>
      <c r="P77" s="13"/>
    </row>
    <row r="78" spans="1:16" ht="14.5" x14ac:dyDescent="0.35">
      <c r="A78" s="8" t="s">
        <v>80</v>
      </c>
      <c r="B78" s="8">
        <v>0.78</v>
      </c>
      <c r="C78" s="9">
        <v>20.200000000000003</v>
      </c>
      <c r="D78" s="10">
        <f t="shared" si="12"/>
        <v>6.6000000000000003E-2</v>
      </c>
      <c r="E78" s="8">
        <f t="shared" si="12"/>
        <v>281.07</v>
      </c>
      <c r="F78" s="8">
        <f t="shared" si="12"/>
        <v>263.8</v>
      </c>
      <c r="G78" s="11">
        <f t="shared" si="12"/>
        <v>3.26</v>
      </c>
      <c r="H78" s="11">
        <f t="shared" si="12"/>
        <v>2.9</v>
      </c>
      <c r="I78" s="8">
        <f t="shared" si="8"/>
        <v>1.44</v>
      </c>
      <c r="J78" s="11">
        <f t="shared" si="8"/>
        <v>0.97199999999999998</v>
      </c>
      <c r="K78" s="11">
        <f t="shared" si="8"/>
        <v>0.72</v>
      </c>
      <c r="L78" s="12">
        <f>ROUNDUP(((G78*I78)+J78),2)</f>
        <v>5.67</v>
      </c>
      <c r="M78" s="12">
        <f>ROUNDUP(((H78*I78)+K78),2)</f>
        <v>4.8999999999999995</v>
      </c>
      <c r="N78" s="12">
        <f>ROUNDUP((C78+((L78-M78)*B78)+(D78*C78)),2)</f>
        <v>22.14</v>
      </c>
      <c r="P78" s="13"/>
    </row>
    <row r="79" spans="1:16" ht="14.5" x14ac:dyDescent="0.35">
      <c r="A79" s="8" t="s">
        <v>81</v>
      </c>
      <c r="B79" s="8">
        <v>5.94</v>
      </c>
      <c r="C79" s="9">
        <v>111.72</v>
      </c>
      <c r="D79" s="10">
        <f t="shared" si="12"/>
        <v>6.6000000000000003E-2</v>
      </c>
      <c r="E79" s="8">
        <f t="shared" si="12"/>
        <v>281.07</v>
      </c>
      <c r="F79" s="8">
        <f t="shared" si="12"/>
        <v>263.8</v>
      </c>
      <c r="G79" s="11">
        <f t="shared" si="12"/>
        <v>3.26</v>
      </c>
      <c r="H79" s="11">
        <f t="shared" si="12"/>
        <v>2.9</v>
      </c>
      <c r="I79" s="8">
        <f t="shared" si="8"/>
        <v>1.44</v>
      </c>
      <c r="J79" s="11">
        <f t="shared" si="8"/>
        <v>0.97199999999999998</v>
      </c>
      <c r="K79" s="11">
        <f t="shared" si="8"/>
        <v>0.72</v>
      </c>
      <c r="L79" s="12">
        <f>ROUNDUP(((G79*I79)+J79),2)</f>
        <v>5.67</v>
      </c>
      <c r="M79" s="12">
        <f>ROUNDUP(((H79*I79)+K79),2)</f>
        <v>4.8999999999999995</v>
      </c>
      <c r="N79" s="12">
        <f>ROUNDUP((C79+((L79-M79)*B79)+(D79*C79)),2)</f>
        <v>123.67</v>
      </c>
      <c r="P79" s="13"/>
    </row>
    <row r="80" spans="1:16" ht="14.5" x14ac:dyDescent="0.35">
      <c r="A80" s="8" t="s">
        <v>82</v>
      </c>
      <c r="B80" s="8">
        <v>2.15</v>
      </c>
      <c r="C80" s="9">
        <v>74.84</v>
      </c>
      <c r="D80" s="10">
        <f t="shared" si="12"/>
        <v>6.6000000000000003E-2</v>
      </c>
      <c r="E80" s="8">
        <f t="shared" si="12"/>
        <v>281.07</v>
      </c>
      <c r="F80" s="8">
        <f t="shared" si="12"/>
        <v>263.8</v>
      </c>
      <c r="G80" s="11">
        <f t="shared" si="12"/>
        <v>3.26</v>
      </c>
      <c r="H80" s="11">
        <f t="shared" si="12"/>
        <v>2.9</v>
      </c>
      <c r="I80" s="8">
        <f t="shared" si="8"/>
        <v>1.44</v>
      </c>
      <c r="J80" s="11">
        <f t="shared" si="8"/>
        <v>0.97199999999999998</v>
      </c>
      <c r="K80" s="11">
        <f t="shared" si="8"/>
        <v>0.72</v>
      </c>
      <c r="L80" s="12">
        <f>ROUNDUP(((G80*I80)+J80),2)</f>
        <v>5.67</v>
      </c>
      <c r="M80" s="12">
        <f>ROUNDUP(((H80*I80)+K80),2)</f>
        <v>4.8999999999999995</v>
      </c>
      <c r="N80" s="12">
        <f>ROUNDUP((C80+((L80-M80)*B80)+(D80*C80)),2)</f>
        <v>81.440000000000012</v>
      </c>
      <c r="P80" s="13"/>
    </row>
    <row r="81" spans="1:16" ht="14.5" x14ac:dyDescent="0.35">
      <c r="A81" s="8" t="s">
        <v>83</v>
      </c>
      <c r="B81" s="8">
        <v>2.7</v>
      </c>
      <c r="C81" s="9">
        <v>85.93</v>
      </c>
      <c r="D81" s="10">
        <f t="shared" si="12"/>
        <v>6.6000000000000003E-2</v>
      </c>
      <c r="E81" s="8">
        <f t="shared" si="12"/>
        <v>281.07</v>
      </c>
      <c r="F81" s="8">
        <f t="shared" si="12"/>
        <v>263.8</v>
      </c>
      <c r="G81" s="11">
        <f t="shared" si="12"/>
        <v>3.26</v>
      </c>
      <c r="H81" s="11">
        <f t="shared" si="12"/>
        <v>2.9</v>
      </c>
      <c r="I81" s="8">
        <f t="shared" si="8"/>
        <v>1.44</v>
      </c>
      <c r="J81" s="11">
        <f t="shared" si="8"/>
        <v>0.97199999999999998</v>
      </c>
      <c r="K81" s="11">
        <f t="shared" si="8"/>
        <v>0.72</v>
      </c>
      <c r="L81" s="12">
        <f t="shared" ref="L81:L99" si="13">ROUNDUP(((G81*I81)+J81),2)</f>
        <v>5.67</v>
      </c>
      <c r="M81" s="12">
        <f t="shared" ref="M81:M99" si="14">ROUNDUP(((H81*I81)+K81),2)</f>
        <v>4.8999999999999995</v>
      </c>
      <c r="N81" s="12">
        <f t="shared" ref="N81:N99" si="15">ROUNDUP((C81+((L81-M81)*B81)+(D81*C81)),2)</f>
        <v>93.690000000000012</v>
      </c>
      <c r="P81" s="13"/>
    </row>
    <row r="82" spans="1:16" ht="14.5" x14ac:dyDescent="0.35">
      <c r="A82" s="8" t="s">
        <v>84</v>
      </c>
      <c r="B82" s="8">
        <v>6.31</v>
      </c>
      <c r="C82" s="9">
        <v>170.89999999999998</v>
      </c>
      <c r="D82" s="10">
        <f t="shared" si="12"/>
        <v>6.6000000000000003E-2</v>
      </c>
      <c r="E82" s="8">
        <f t="shared" si="12"/>
        <v>281.07</v>
      </c>
      <c r="F82" s="8">
        <f t="shared" si="12"/>
        <v>263.8</v>
      </c>
      <c r="G82" s="11">
        <f t="shared" si="12"/>
        <v>3.26</v>
      </c>
      <c r="H82" s="11">
        <f t="shared" si="12"/>
        <v>2.9</v>
      </c>
      <c r="I82" s="8">
        <f t="shared" si="8"/>
        <v>1.44</v>
      </c>
      <c r="J82" s="11">
        <f t="shared" si="8"/>
        <v>0.97199999999999998</v>
      </c>
      <c r="K82" s="11">
        <f t="shared" si="8"/>
        <v>0.72</v>
      </c>
      <c r="L82" s="12">
        <f t="shared" si="13"/>
        <v>5.67</v>
      </c>
      <c r="M82" s="12">
        <f t="shared" si="14"/>
        <v>4.8999999999999995</v>
      </c>
      <c r="N82" s="12">
        <f t="shared" si="15"/>
        <v>187.04</v>
      </c>
      <c r="P82" s="13"/>
    </row>
    <row r="83" spans="1:16" ht="14.5" x14ac:dyDescent="0.35">
      <c r="A83" s="8">
        <v>221023</v>
      </c>
      <c r="B83" s="8">
        <v>0.3</v>
      </c>
      <c r="C83" s="9">
        <v>14.37</v>
      </c>
      <c r="D83" s="10">
        <f t="shared" si="12"/>
        <v>6.6000000000000003E-2</v>
      </c>
      <c r="E83" s="8">
        <f t="shared" si="12"/>
        <v>281.07</v>
      </c>
      <c r="F83" s="8">
        <f t="shared" si="12"/>
        <v>263.8</v>
      </c>
      <c r="G83" s="11">
        <f t="shared" si="12"/>
        <v>3.26</v>
      </c>
      <c r="H83" s="11">
        <f t="shared" si="12"/>
        <v>2.9</v>
      </c>
      <c r="I83" s="8">
        <f t="shared" si="8"/>
        <v>1.44</v>
      </c>
      <c r="J83" s="11">
        <f t="shared" si="8"/>
        <v>0.97199999999999998</v>
      </c>
      <c r="K83" s="11">
        <f t="shared" si="8"/>
        <v>0.72</v>
      </c>
      <c r="L83" s="12">
        <f t="shared" si="13"/>
        <v>5.67</v>
      </c>
      <c r="M83" s="12">
        <f t="shared" si="14"/>
        <v>4.8999999999999995</v>
      </c>
      <c r="N83" s="12">
        <f t="shared" si="15"/>
        <v>15.549999999999999</v>
      </c>
      <c r="P83" s="13"/>
    </row>
    <row r="84" spans="1:16" ht="14.5" x14ac:dyDescent="0.35">
      <c r="A84" s="8">
        <v>221134</v>
      </c>
      <c r="B84" s="8">
        <v>0.3</v>
      </c>
      <c r="C84" s="9">
        <v>46.12</v>
      </c>
      <c r="D84" s="10">
        <f t="shared" si="12"/>
        <v>6.6000000000000003E-2</v>
      </c>
      <c r="E84" s="8">
        <f t="shared" si="12"/>
        <v>281.07</v>
      </c>
      <c r="F84" s="8">
        <f t="shared" si="12"/>
        <v>263.8</v>
      </c>
      <c r="G84" s="11">
        <f t="shared" si="12"/>
        <v>3.26</v>
      </c>
      <c r="H84" s="11">
        <f t="shared" si="12"/>
        <v>2.9</v>
      </c>
      <c r="I84" s="8">
        <f t="shared" si="8"/>
        <v>1.44</v>
      </c>
      <c r="J84" s="11">
        <f t="shared" si="8"/>
        <v>0.97199999999999998</v>
      </c>
      <c r="K84" s="11">
        <f t="shared" si="8"/>
        <v>0.72</v>
      </c>
      <c r="L84" s="12">
        <f t="shared" si="13"/>
        <v>5.67</v>
      </c>
      <c r="M84" s="12">
        <f t="shared" si="14"/>
        <v>4.8999999999999995</v>
      </c>
      <c r="N84" s="12">
        <f t="shared" si="15"/>
        <v>49.4</v>
      </c>
      <c r="P84" s="13"/>
    </row>
    <row r="85" spans="1:16" ht="14.5" x14ac:dyDescent="0.35">
      <c r="A85" s="8">
        <v>221235</v>
      </c>
      <c r="B85" s="8">
        <v>1.98</v>
      </c>
      <c r="C85" s="9">
        <v>82.97</v>
      </c>
      <c r="D85" s="10">
        <f t="shared" si="12"/>
        <v>6.6000000000000003E-2</v>
      </c>
      <c r="E85" s="8">
        <f t="shared" si="12"/>
        <v>281.07</v>
      </c>
      <c r="F85" s="8">
        <f t="shared" si="12"/>
        <v>263.8</v>
      </c>
      <c r="G85" s="11">
        <f t="shared" si="12"/>
        <v>3.26</v>
      </c>
      <c r="H85" s="11">
        <f t="shared" si="12"/>
        <v>2.9</v>
      </c>
      <c r="I85" s="8">
        <f t="shared" si="8"/>
        <v>1.44</v>
      </c>
      <c r="J85" s="11">
        <f t="shared" si="8"/>
        <v>0.97199999999999998</v>
      </c>
      <c r="K85" s="11">
        <f t="shared" si="8"/>
        <v>0.72</v>
      </c>
      <c r="L85" s="12">
        <f t="shared" si="13"/>
        <v>5.67</v>
      </c>
      <c r="M85" s="12">
        <f t="shared" si="14"/>
        <v>4.8999999999999995</v>
      </c>
      <c r="N85" s="12">
        <f t="shared" si="15"/>
        <v>89.98</v>
      </c>
      <c r="P85" s="13"/>
    </row>
    <row r="86" spans="1:16" ht="14.5" x14ac:dyDescent="0.35">
      <c r="A86" s="8">
        <v>221280</v>
      </c>
      <c r="B86" s="8">
        <v>1.92</v>
      </c>
      <c r="C86" s="9">
        <v>31.34</v>
      </c>
      <c r="D86" s="10">
        <f t="shared" si="12"/>
        <v>6.6000000000000003E-2</v>
      </c>
      <c r="E86" s="8">
        <f t="shared" si="12"/>
        <v>281.07</v>
      </c>
      <c r="F86" s="8">
        <f t="shared" si="12"/>
        <v>263.8</v>
      </c>
      <c r="G86" s="11">
        <f t="shared" si="12"/>
        <v>3.26</v>
      </c>
      <c r="H86" s="11">
        <f t="shared" si="12"/>
        <v>2.9</v>
      </c>
      <c r="I86" s="8">
        <f t="shared" si="8"/>
        <v>1.44</v>
      </c>
      <c r="J86" s="11">
        <f t="shared" si="8"/>
        <v>0.97199999999999998</v>
      </c>
      <c r="K86" s="11">
        <f t="shared" si="8"/>
        <v>0.72</v>
      </c>
      <c r="L86" s="12">
        <f t="shared" si="13"/>
        <v>5.67</v>
      </c>
      <c r="M86" s="12">
        <f t="shared" si="14"/>
        <v>4.8999999999999995</v>
      </c>
      <c r="N86" s="12">
        <f t="shared" si="15"/>
        <v>34.89</v>
      </c>
      <c r="P86" s="13"/>
    </row>
    <row r="87" spans="1:16" ht="14.5" x14ac:dyDescent="0.35">
      <c r="A87" s="8">
        <v>221439</v>
      </c>
      <c r="B87" s="8">
        <v>0.91</v>
      </c>
      <c r="C87" s="9">
        <v>21.26</v>
      </c>
      <c r="D87" s="10">
        <f t="shared" si="12"/>
        <v>6.6000000000000003E-2</v>
      </c>
      <c r="E87" s="8">
        <f t="shared" si="12"/>
        <v>281.07</v>
      </c>
      <c r="F87" s="8">
        <f t="shared" si="12"/>
        <v>263.8</v>
      </c>
      <c r="G87" s="11">
        <f t="shared" si="12"/>
        <v>3.26</v>
      </c>
      <c r="H87" s="11">
        <f t="shared" si="12"/>
        <v>2.9</v>
      </c>
      <c r="I87" s="8">
        <f t="shared" si="8"/>
        <v>1.44</v>
      </c>
      <c r="J87" s="11">
        <f t="shared" si="8"/>
        <v>0.97199999999999998</v>
      </c>
      <c r="K87" s="11">
        <f t="shared" si="8"/>
        <v>0.72</v>
      </c>
      <c r="L87" s="12">
        <f t="shared" si="13"/>
        <v>5.67</v>
      </c>
      <c r="M87" s="12">
        <f t="shared" si="14"/>
        <v>4.8999999999999995</v>
      </c>
      <c r="N87" s="12">
        <f t="shared" si="15"/>
        <v>23.37</v>
      </c>
      <c r="P87" s="13"/>
    </row>
    <row r="88" spans="1:16" ht="14.5" x14ac:dyDescent="0.35">
      <c r="A88" s="8">
        <v>221504</v>
      </c>
      <c r="B88" s="8">
        <v>0.93</v>
      </c>
      <c r="C88" s="9">
        <v>104.85000000000001</v>
      </c>
      <c r="D88" s="10">
        <f t="shared" si="12"/>
        <v>6.6000000000000003E-2</v>
      </c>
      <c r="E88" s="8">
        <f t="shared" si="12"/>
        <v>281.07</v>
      </c>
      <c r="F88" s="8">
        <f t="shared" si="12"/>
        <v>263.8</v>
      </c>
      <c r="G88" s="11">
        <f t="shared" si="12"/>
        <v>3.26</v>
      </c>
      <c r="H88" s="11">
        <f t="shared" si="12"/>
        <v>2.9</v>
      </c>
      <c r="I88" s="8">
        <f t="shared" si="8"/>
        <v>1.44</v>
      </c>
      <c r="J88" s="11">
        <f t="shared" si="8"/>
        <v>0.97199999999999998</v>
      </c>
      <c r="K88" s="11">
        <f t="shared" si="8"/>
        <v>0.72</v>
      </c>
      <c r="L88" s="12">
        <f t="shared" si="13"/>
        <v>5.67</v>
      </c>
      <c r="M88" s="12">
        <f t="shared" si="14"/>
        <v>4.8999999999999995</v>
      </c>
      <c r="N88" s="12">
        <f t="shared" si="15"/>
        <v>112.49000000000001</v>
      </c>
      <c r="P88" s="13"/>
    </row>
    <row r="89" spans="1:16" ht="14.5" x14ac:dyDescent="0.35">
      <c r="A89" s="8">
        <v>221727</v>
      </c>
      <c r="B89" s="8">
        <v>1.17</v>
      </c>
      <c r="C89" s="9">
        <v>105.53</v>
      </c>
      <c r="D89" s="10">
        <f t="shared" si="12"/>
        <v>6.6000000000000003E-2</v>
      </c>
      <c r="E89" s="8">
        <f t="shared" si="12"/>
        <v>281.07</v>
      </c>
      <c r="F89" s="8">
        <f t="shared" si="12"/>
        <v>263.8</v>
      </c>
      <c r="G89" s="11">
        <f t="shared" si="12"/>
        <v>3.26</v>
      </c>
      <c r="H89" s="11">
        <f t="shared" si="12"/>
        <v>2.9</v>
      </c>
      <c r="I89" s="8">
        <f t="shared" si="12"/>
        <v>1.44</v>
      </c>
      <c r="J89" s="11">
        <f t="shared" si="12"/>
        <v>0.97199999999999998</v>
      </c>
      <c r="K89" s="11">
        <f t="shared" si="12"/>
        <v>0.72</v>
      </c>
      <c r="L89" s="12">
        <f t="shared" si="13"/>
        <v>5.67</v>
      </c>
      <c r="M89" s="12">
        <f t="shared" si="14"/>
        <v>4.8999999999999995</v>
      </c>
      <c r="N89" s="12">
        <f t="shared" si="15"/>
        <v>113.4</v>
      </c>
      <c r="P89" s="13"/>
    </row>
    <row r="90" spans="1:16" ht="14.5" x14ac:dyDescent="0.35">
      <c r="A90" s="8" t="s">
        <v>85</v>
      </c>
      <c r="B90" s="8">
        <v>0.61</v>
      </c>
      <c r="C90" s="9">
        <v>18.610000000000003</v>
      </c>
      <c r="D90" s="10">
        <f t="shared" si="12"/>
        <v>6.6000000000000003E-2</v>
      </c>
      <c r="E90" s="8">
        <f t="shared" si="12"/>
        <v>281.07</v>
      </c>
      <c r="F90" s="8">
        <f t="shared" si="12"/>
        <v>263.8</v>
      </c>
      <c r="G90" s="11">
        <f t="shared" si="12"/>
        <v>3.26</v>
      </c>
      <c r="H90" s="11">
        <f t="shared" si="12"/>
        <v>2.9</v>
      </c>
      <c r="I90" s="8">
        <f t="shared" si="12"/>
        <v>1.44</v>
      </c>
      <c r="J90" s="11">
        <f t="shared" si="12"/>
        <v>0.97199999999999998</v>
      </c>
      <c r="K90" s="11">
        <f t="shared" si="12"/>
        <v>0.72</v>
      </c>
      <c r="L90" s="12">
        <f t="shared" si="13"/>
        <v>5.67</v>
      </c>
      <c r="M90" s="12">
        <f t="shared" si="14"/>
        <v>4.8999999999999995</v>
      </c>
      <c r="N90" s="12">
        <f t="shared" si="15"/>
        <v>20.310000000000002</v>
      </c>
      <c r="P90" s="13"/>
    </row>
    <row r="91" spans="1:16" ht="14.5" x14ac:dyDescent="0.35">
      <c r="A91" s="8" t="s">
        <v>86</v>
      </c>
      <c r="B91" s="8">
        <v>0.64</v>
      </c>
      <c r="C91" s="9">
        <v>39.26</v>
      </c>
      <c r="D91" s="10">
        <f t="shared" si="12"/>
        <v>6.6000000000000003E-2</v>
      </c>
      <c r="E91" s="8">
        <f t="shared" si="12"/>
        <v>281.07</v>
      </c>
      <c r="F91" s="8">
        <f t="shared" si="12"/>
        <v>263.8</v>
      </c>
      <c r="G91" s="11">
        <f t="shared" si="12"/>
        <v>3.26</v>
      </c>
      <c r="H91" s="11">
        <f t="shared" si="12"/>
        <v>2.9</v>
      </c>
      <c r="I91" s="8">
        <f t="shared" si="12"/>
        <v>1.44</v>
      </c>
      <c r="J91" s="11">
        <f t="shared" si="12"/>
        <v>0.97199999999999998</v>
      </c>
      <c r="K91" s="11">
        <f t="shared" si="12"/>
        <v>0.72</v>
      </c>
      <c r="L91" s="12">
        <f t="shared" si="13"/>
        <v>5.67</v>
      </c>
      <c r="M91" s="12">
        <f t="shared" si="14"/>
        <v>4.8999999999999995</v>
      </c>
      <c r="N91" s="12">
        <f t="shared" si="15"/>
        <v>42.35</v>
      </c>
      <c r="P91" s="13"/>
    </row>
    <row r="92" spans="1:16" ht="14.5" x14ac:dyDescent="0.35">
      <c r="A92" s="8" t="s">
        <v>87</v>
      </c>
      <c r="B92" s="8">
        <v>1.38</v>
      </c>
      <c r="C92" s="9">
        <v>32.449999999999996</v>
      </c>
      <c r="D92" s="10">
        <f t="shared" si="12"/>
        <v>6.6000000000000003E-2</v>
      </c>
      <c r="E92" s="8">
        <f t="shared" si="12"/>
        <v>281.07</v>
      </c>
      <c r="F92" s="8">
        <f t="shared" si="12"/>
        <v>263.8</v>
      </c>
      <c r="G92" s="11">
        <f t="shared" si="12"/>
        <v>3.26</v>
      </c>
      <c r="H92" s="11">
        <f t="shared" si="12"/>
        <v>2.9</v>
      </c>
      <c r="I92" s="8">
        <f t="shared" si="12"/>
        <v>1.44</v>
      </c>
      <c r="J92" s="11">
        <f t="shared" si="12"/>
        <v>0.97199999999999998</v>
      </c>
      <c r="K92" s="11">
        <f t="shared" si="12"/>
        <v>0.72</v>
      </c>
      <c r="L92" s="12">
        <f t="shared" si="13"/>
        <v>5.67</v>
      </c>
      <c r="M92" s="12">
        <f t="shared" si="14"/>
        <v>4.8999999999999995</v>
      </c>
      <c r="N92" s="12">
        <f t="shared" si="15"/>
        <v>35.659999999999997</v>
      </c>
      <c r="P92" s="13"/>
    </row>
    <row r="93" spans="1:16" ht="14.5" x14ac:dyDescent="0.35">
      <c r="A93" s="8" t="s">
        <v>28</v>
      </c>
      <c r="B93" s="8">
        <v>2.21</v>
      </c>
      <c r="C93" s="9">
        <v>64.650000000000006</v>
      </c>
      <c r="D93" s="10">
        <f t="shared" si="12"/>
        <v>6.6000000000000003E-2</v>
      </c>
      <c r="E93" s="8">
        <f t="shared" si="12"/>
        <v>281.07</v>
      </c>
      <c r="F93" s="8">
        <f t="shared" si="12"/>
        <v>263.8</v>
      </c>
      <c r="G93" s="11">
        <f t="shared" si="12"/>
        <v>3.26</v>
      </c>
      <c r="H93" s="11">
        <f t="shared" si="12"/>
        <v>2.9</v>
      </c>
      <c r="I93" s="8">
        <f t="shared" si="12"/>
        <v>1.44</v>
      </c>
      <c r="J93" s="11">
        <f t="shared" si="12"/>
        <v>0.97199999999999998</v>
      </c>
      <c r="K93" s="11">
        <f t="shared" si="12"/>
        <v>0.72</v>
      </c>
      <c r="L93" s="12">
        <f t="shared" si="13"/>
        <v>5.67</v>
      </c>
      <c r="M93" s="12">
        <f t="shared" si="14"/>
        <v>4.8999999999999995</v>
      </c>
      <c r="N93" s="12">
        <f t="shared" si="15"/>
        <v>70.62</v>
      </c>
      <c r="P93" s="13"/>
    </row>
    <row r="94" spans="1:16" ht="14.5" x14ac:dyDescent="0.35">
      <c r="A94" s="8" t="s">
        <v>88</v>
      </c>
      <c r="B94" s="8">
        <v>2.52</v>
      </c>
      <c r="C94" s="9">
        <v>70.39</v>
      </c>
      <c r="D94" s="10">
        <f t="shared" si="12"/>
        <v>6.6000000000000003E-2</v>
      </c>
      <c r="E94" s="8">
        <f t="shared" si="12"/>
        <v>281.07</v>
      </c>
      <c r="F94" s="8">
        <f t="shared" si="12"/>
        <v>263.8</v>
      </c>
      <c r="G94" s="11">
        <f t="shared" si="12"/>
        <v>3.26</v>
      </c>
      <c r="H94" s="11">
        <f t="shared" si="12"/>
        <v>2.9</v>
      </c>
      <c r="I94" s="8">
        <f t="shared" si="12"/>
        <v>1.44</v>
      </c>
      <c r="J94" s="11">
        <f t="shared" si="12"/>
        <v>0.97199999999999998</v>
      </c>
      <c r="K94" s="11">
        <f t="shared" si="12"/>
        <v>0.72</v>
      </c>
      <c r="L94" s="12">
        <f t="shared" si="13"/>
        <v>5.67</v>
      </c>
      <c r="M94" s="12">
        <f t="shared" si="14"/>
        <v>4.8999999999999995</v>
      </c>
      <c r="N94" s="12">
        <f t="shared" si="15"/>
        <v>76.98</v>
      </c>
      <c r="P94" s="13"/>
    </row>
    <row r="95" spans="1:16" ht="14.5" x14ac:dyDescent="0.35">
      <c r="A95" s="8" t="s">
        <v>89</v>
      </c>
      <c r="B95" s="8">
        <v>1.88</v>
      </c>
      <c r="C95" s="9">
        <v>70.930000000000007</v>
      </c>
      <c r="D95" s="10">
        <f t="shared" si="12"/>
        <v>6.6000000000000003E-2</v>
      </c>
      <c r="E95" s="8">
        <f t="shared" si="12"/>
        <v>281.07</v>
      </c>
      <c r="F95" s="8">
        <f t="shared" si="12"/>
        <v>263.8</v>
      </c>
      <c r="G95" s="11">
        <f t="shared" si="12"/>
        <v>3.26</v>
      </c>
      <c r="H95" s="11">
        <f t="shared" si="12"/>
        <v>2.9</v>
      </c>
      <c r="I95" s="8">
        <f t="shared" si="12"/>
        <v>1.44</v>
      </c>
      <c r="J95" s="11">
        <f t="shared" si="12"/>
        <v>0.97199999999999998</v>
      </c>
      <c r="K95" s="11">
        <f t="shared" si="12"/>
        <v>0.72</v>
      </c>
      <c r="L95" s="12">
        <f t="shared" si="13"/>
        <v>5.67</v>
      </c>
      <c r="M95" s="12">
        <f t="shared" si="14"/>
        <v>4.8999999999999995</v>
      </c>
      <c r="N95" s="12">
        <f t="shared" si="15"/>
        <v>77.06</v>
      </c>
      <c r="P95" s="13"/>
    </row>
    <row r="96" spans="1:16" ht="14.5" x14ac:dyDescent="0.35">
      <c r="A96" s="8" t="s">
        <v>90</v>
      </c>
      <c r="B96" s="8">
        <v>1.66</v>
      </c>
      <c r="C96" s="9">
        <v>31.78</v>
      </c>
      <c r="D96" s="10">
        <f t="shared" si="12"/>
        <v>6.6000000000000003E-2</v>
      </c>
      <c r="E96" s="8">
        <f t="shared" si="12"/>
        <v>281.07</v>
      </c>
      <c r="F96" s="8">
        <f t="shared" si="12"/>
        <v>263.8</v>
      </c>
      <c r="G96" s="11">
        <f t="shared" si="12"/>
        <v>3.26</v>
      </c>
      <c r="H96" s="11">
        <f t="shared" si="12"/>
        <v>2.9</v>
      </c>
      <c r="I96" s="8">
        <f t="shared" si="12"/>
        <v>1.44</v>
      </c>
      <c r="J96" s="11">
        <f t="shared" si="12"/>
        <v>0.97199999999999998</v>
      </c>
      <c r="K96" s="11">
        <f t="shared" si="12"/>
        <v>0.72</v>
      </c>
      <c r="L96" s="12">
        <f t="shared" si="13"/>
        <v>5.67</v>
      </c>
      <c r="M96" s="12">
        <f t="shared" si="14"/>
        <v>4.8999999999999995</v>
      </c>
      <c r="N96" s="12">
        <f t="shared" si="15"/>
        <v>35.159999999999997</v>
      </c>
      <c r="P96" s="13"/>
    </row>
    <row r="97" spans="1:16" ht="14.5" x14ac:dyDescent="0.35">
      <c r="A97" s="8" t="s">
        <v>91</v>
      </c>
      <c r="B97" s="8">
        <v>5</v>
      </c>
      <c r="C97" s="9">
        <v>115.55000000000001</v>
      </c>
      <c r="D97" s="10">
        <f t="shared" si="12"/>
        <v>6.6000000000000003E-2</v>
      </c>
      <c r="E97" s="8">
        <f t="shared" si="12"/>
        <v>281.07</v>
      </c>
      <c r="F97" s="8">
        <f t="shared" si="12"/>
        <v>263.8</v>
      </c>
      <c r="G97" s="11">
        <f t="shared" si="12"/>
        <v>3.26</v>
      </c>
      <c r="H97" s="11">
        <f t="shared" si="12"/>
        <v>2.9</v>
      </c>
      <c r="I97" s="8">
        <f t="shared" si="12"/>
        <v>1.44</v>
      </c>
      <c r="J97" s="11">
        <f t="shared" si="12"/>
        <v>0.97199999999999998</v>
      </c>
      <c r="K97" s="11">
        <f t="shared" si="12"/>
        <v>0.72</v>
      </c>
      <c r="L97" s="12">
        <f t="shared" si="13"/>
        <v>5.67</v>
      </c>
      <c r="M97" s="12">
        <f t="shared" si="14"/>
        <v>4.8999999999999995</v>
      </c>
      <c r="N97" s="12">
        <f t="shared" si="15"/>
        <v>127.03</v>
      </c>
      <c r="P97" s="13"/>
    </row>
    <row r="98" spans="1:16" ht="14.5" x14ac:dyDescent="0.35">
      <c r="A98" s="8" t="s">
        <v>92</v>
      </c>
      <c r="B98" s="8">
        <v>6</v>
      </c>
      <c r="C98" s="9">
        <v>144.29</v>
      </c>
      <c r="D98" s="10">
        <f t="shared" si="12"/>
        <v>6.6000000000000003E-2</v>
      </c>
      <c r="E98" s="8">
        <f t="shared" si="12"/>
        <v>281.07</v>
      </c>
      <c r="F98" s="8">
        <f t="shared" si="12"/>
        <v>263.8</v>
      </c>
      <c r="G98" s="11">
        <f t="shared" si="12"/>
        <v>3.26</v>
      </c>
      <c r="H98" s="11">
        <f t="shared" si="12"/>
        <v>2.9</v>
      </c>
      <c r="I98" s="8">
        <f t="shared" si="12"/>
        <v>1.44</v>
      </c>
      <c r="J98" s="11">
        <f t="shared" si="12"/>
        <v>0.97199999999999998</v>
      </c>
      <c r="K98" s="11">
        <f t="shared" si="12"/>
        <v>0.72</v>
      </c>
      <c r="L98" s="12">
        <f t="shared" si="13"/>
        <v>5.67</v>
      </c>
      <c r="M98" s="12">
        <f t="shared" si="14"/>
        <v>4.8999999999999995</v>
      </c>
      <c r="N98" s="12">
        <f t="shared" si="15"/>
        <v>158.44</v>
      </c>
      <c r="P98" s="13"/>
    </row>
    <row r="99" spans="1:16" ht="14.5" x14ac:dyDescent="0.35">
      <c r="A99" s="8" t="s">
        <v>93</v>
      </c>
      <c r="B99" s="8">
        <v>5.4</v>
      </c>
      <c r="C99" s="9">
        <v>129.75</v>
      </c>
      <c r="D99" s="10">
        <f t="shared" si="12"/>
        <v>6.6000000000000003E-2</v>
      </c>
      <c r="E99" s="8">
        <f t="shared" si="12"/>
        <v>281.07</v>
      </c>
      <c r="F99" s="8">
        <f t="shared" si="12"/>
        <v>263.8</v>
      </c>
      <c r="G99" s="11">
        <f t="shared" si="12"/>
        <v>3.26</v>
      </c>
      <c r="H99" s="11">
        <f t="shared" si="12"/>
        <v>2.9</v>
      </c>
      <c r="I99" s="8">
        <f t="shared" si="12"/>
        <v>1.44</v>
      </c>
      <c r="J99" s="11">
        <f t="shared" si="12"/>
        <v>0.97199999999999998</v>
      </c>
      <c r="K99" s="11">
        <f t="shared" si="12"/>
        <v>0.72</v>
      </c>
      <c r="L99" s="12">
        <f t="shared" si="13"/>
        <v>5.67</v>
      </c>
      <c r="M99" s="12">
        <f t="shared" si="14"/>
        <v>4.8999999999999995</v>
      </c>
      <c r="N99" s="12">
        <f t="shared" si="15"/>
        <v>142.47999999999999</v>
      </c>
      <c r="P99" s="13"/>
    </row>
    <row r="100" spans="1:16" ht="14.5" x14ac:dyDescent="0.35">
      <c r="A100" s="8" t="s">
        <v>94</v>
      </c>
      <c r="B100" s="8">
        <v>25.16</v>
      </c>
      <c r="C100" s="9">
        <v>370.90999999999997</v>
      </c>
      <c r="D100" s="10">
        <f t="shared" si="12"/>
        <v>6.6000000000000003E-2</v>
      </c>
      <c r="E100" s="8">
        <f t="shared" si="12"/>
        <v>281.07</v>
      </c>
      <c r="F100" s="8">
        <f t="shared" si="12"/>
        <v>263.8</v>
      </c>
      <c r="G100" s="11">
        <f t="shared" si="12"/>
        <v>3.26</v>
      </c>
      <c r="H100" s="11">
        <f t="shared" si="12"/>
        <v>2.9</v>
      </c>
      <c r="I100" s="8">
        <f t="shared" si="12"/>
        <v>1.44</v>
      </c>
      <c r="J100" s="11">
        <f t="shared" si="12"/>
        <v>0.97199999999999998</v>
      </c>
      <c r="K100" s="11">
        <f t="shared" si="12"/>
        <v>0.72</v>
      </c>
      <c r="L100" s="12">
        <f>ROUNDUP(((G100*I100)+J100),2)</f>
        <v>5.67</v>
      </c>
      <c r="M100" s="12">
        <f>ROUNDUP(((H100*I100)+K100),2)</f>
        <v>4.8999999999999995</v>
      </c>
      <c r="N100" s="12">
        <f>ROUNDUP((C100+((L100-M100)*B100)+(D100*C100)),2)</f>
        <v>414.77</v>
      </c>
      <c r="P100" s="13"/>
    </row>
    <row r="101" spans="1:16" ht="14.5" x14ac:dyDescent="0.35">
      <c r="A101" s="8" t="s">
        <v>95</v>
      </c>
      <c r="B101" s="8">
        <v>4.3</v>
      </c>
      <c r="C101" s="9">
        <v>84.100000000000009</v>
      </c>
      <c r="D101" s="10">
        <f t="shared" si="12"/>
        <v>6.6000000000000003E-2</v>
      </c>
      <c r="E101" s="8">
        <f t="shared" si="12"/>
        <v>281.07</v>
      </c>
      <c r="F101" s="8">
        <f t="shared" si="12"/>
        <v>263.8</v>
      </c>
      <c r="G101" s="11">
        <f t="shared" si="12"/>
        <v>3.26</v>
      </c>
      <c r="H101" s="11">
        <f t="shared" si="12"/>
        <v>2.9</v>
      </c>
      <c r="I101" s="8">
        <f t="shared" si="12"/>
        <v>1.44</v>
      </c>
      <c r="J101" s="11">
        <f t="shared" si="12"/>
        <v>0.97199999999999998</v>
      </c>
      <c r="K101" s="11">
        <f t="shared" si="12"/>
        <v>0.72</v>
      </c>
      <c r="L101" s="12">
        <f>ROUNDUP(((G101*I101)+J101),2)</f>
        <v>5.67</v>
      </c>
      <c r="M101" s="12">
        <f>ROUNDUP(((H101*I101)+K101),2)</f>
        <v>4.8999999999999995</v>
      </c>
      <c r="N101" s="12">
        <f>ROUNDUP((C101+((L101-M101)*B101)+(D101*C101)),2)</f>
        <v>92.97</v>
      </c>
      <c r="P101" s="13"/>
    </row>
    <row r="102" spans="1:16" ht="14.5" x14ac:dyDescent="0.35">
      <c r="A102" s="8" t="s">
        <v>96</v>
      </c>
      <c r="B102" s="8">
        <v>16</v>
      </c>
      <c r="C102" s="9">
        <v>250.64</v>
      </c>
      <c r="D102" s="10">
        <f t="shared" si="12"/>
        <v>6.6000000000000003E-2</v>
      </c>
      <c r="E102" s="8">
        <f t="shared" si="12"/>
        <v>281.07</v>
      </c>
      <c r="F102" s="8">
        <f t="shared" si="12"/>
        <v>263.8</v>
      </c>
      <c r="G102" s="11">
        <f t="shared" si="12"/>
        <v>3.26</v>
      </c>
      <c r="H102" s="11">
        <f t="shared" si="12"/>
        <v>2.9</v>
      </c>
      <c r="I102" s="8">
        <f t="shared" si="12"/>
        <v>1.44</v>
      </c>
      <c r="J102" s="11">
        <f t="shared" si="12"/>
        <v>0.97199999999999998</v>
      </c>
      <c r="K102" s="11">
        <f t="shared" si="12"/>
        <v>0.72</v>
      </c>
      <c r="L102" s="12">
        <f>ROUNDUP(((G102*I102)+J102),2)</f>
        <v>5.67</v>
      </c>
      <c r="M102" s="12">
        <f>ROUNDUP(((H102*I102)+K102),2)</f>
        <v>4.8999999999999995</v>
      </c>
      <c r="N102" s="12">
        <f>ROUNDUP((C102+((L102-M102)*B102)+(D102*C102)),2)</f>
        <v>279.51</v>
      </c>
      <c r="P102" s="13"/>
    </row>
    <row r="103" spans="1:16" ht="14.5" x14ac:dyDescent="0.35">
      <c r="A103" s="8" t="s">
        <v>97</v>
      </c>
      <c r="B103" s="8">
        <v>9.14</v>
      </c>
      <c r="C103" s="9">
        <v>158.44</v>
      </c>
      <c r="D103" s="10">
        <f t="shared" si="12"/>
        <v>6.6000000000000003E-2</v>
      </c>
      <c r="E103" s="8">
        <f t="shared" si="12"/>
        <v>281.07</v>
      </c>
      <c r="F103" s="8">
        <f t="shared" si="12"/>
        <v>263.8</v>
      </c>
      <c r="G103" s="11">
        <v>1.48</v>
      </c>
      <c r="H103" s="11">
        <v>1.47</v>
      </c>
      <c r="I103" s="8">
        <f t="shared" si="12"/>
        <v>1.44</v>
      </c>
      <c r="J103" s="11">
        <f t="shared" si="12"/>
        <v>0.97199999999999998</v>
      </c>
      <c r="K103" s="11">
        <f t="shared" si="12"/>
        <v>0.72</v>
      </c>
      <c r="L103" s="12">
        <f>ROUNDUP(((G103*I103)+J103),2)</f>
        <v>3.11</v>
      </c>
      <c r="M103" s="12">
        <f>ROUNDUP(((H103*I103)+K103),2)</f>
        <v>2.84</v>
      </c>
      <c r="N103" s="12">
        <f>ROUNDUP((C103+((L103-M103)*B103)+(D103*C103)),2)</f>
        <v>171.37</v>
      </c>
      <c r="P103" s="13"/>
    </row>
    <row r="104" spans="1:16" ht="14.5" x14ac:dyDescent="0.35">
      <c r="A104" s="8" t="s">
        <v>98</v>
      </c>
      <c r="B104" s="8">
        <v>13.1</v>
      </c>
      <c r="C104" s="9">
        <v>324.45</v>
      </c>
      <c r="D104" s="10">
        <f t="shared" si="12"/>
        <v>6.6000000000000003E-2</v>
      </c>
      <c r="E104" s="8">
        <f t="shared" si="12"/>
        <v>281.07</v>
      </c>
      <c r="F104" s="8">
        <f t="shared" si="12"/>
        <v>263.8</v>
      </c>
      <c r="G104" s="11">
        <f t="shared" si="12"/>
        <v>3.26</v>
      </c>
      <c r="H104" s="11">
        <f t="shared" si="12"/>
        <v>2.9</v>
      </c>
      <c r="I104" s="8">
        <f t="shared" si="12"/>
        <v>1.44</v>
      </c>
      <c r="J104" s="11">
        <f t="shared" si="12"/>
        <v>0.97199999999999998</v>
      </c>
      <c r="K104" s="11">
        <f t="shared" si="12"/>
        <v>0.72</v>
      </c>
      <c r="L104" s="12">
        <f t="shared" ref="L104:L121" si="16">ROUNDUP(((G104*I104)+J104),2)</f>
        <v>5.67</v>
      </c>
      <c r="M104" s="12">
        <f t="shared" ref="M104:M121" si="17">ROUNDUP(((H104*I104)+K104),2)</f>
        <v>4.8999999999999995</v>
      </c>
      <c r="N104" s="12">
        <f t="shared" ref="N104:N121" si="18">ROUNDUP((C104+((L104-M104)*B104)+(D104*C104)),2)</f>
        <v>355.96</v>
      </c>
      <c r="P104" s="13"/>
    </row>
    <row r="105" spans="1:16" ht="14.5" x14ac:dyDescent="0.35">
      <c r="A105" s="8" t="s">
        <v>99</v>
      </c>
      <c r="B105" s="8">
        <v>38</v>
      </c>
      <c r="C105" s="9">
        <v>588.93999999999994</v>
      </c>
      <c r="D105" s="10">
        <f t="shared" si="12"/>
        <v>6.6000000000000003E-2</v>
      </c>
      <c r="E105" s="8">
        <f t="shared" si="12"/>
        <v>281.07</v>
      </c>
      <c r="F105" s="8">
        <f t="shared" si="12"/>
        <v>263.8</v>
      </c>
      <c r="G105" s="11">
        <f t="shared" si="12"/>
        <v>3.26</v>
      </c>
      <c r="H105" s="11">
        <f t="shared" si="12"/>
        <v>2.9</v>
      </c>
      <c r="I105" s="8">
        <f t="shared" si="12"/>
        <v>1.44</v>
      </c>
      <c r="J105" s="11">
        <f t="shared" si="12"/>
        <v>0.97199999999999998</v>
      </c>
      <c r="K105" s="11">
        <f t="shared" si="12"/>
        <v>0.72</v>
      </c>
      <c r="L105" s="12">
        <f t="shared" si="16"/>
        <v>5.67</v>
      </c>
      <c r="M105" s="12">
        <f t="shared" si="17"/>
        <v>4.8999999999999995</v>
      </c>
      <c r="N105" s="12">
        <f t="shared" si="18"/>
        <v>657.08</v>
      </c>
      <c r="P105" s="13"/>
    </row>
    <row r="106" spans="1:16" ht="14.5" x14ac:dyDescent="0.35">
      <c r="A106" s="8" t="s">
        <v>14</v>
      </c>
      <c r="B106" s="8">
        <v>60</v>
      </c>
      <c r="C106" s="9">
        <v>936.81</v>
      </c>
      <c r="D106" s="10">
        <f t="shared" si="12"/>
        <v>6.6000000000000003E-2</v>
      </c>
      <c r="E106" s="8">
        <f t="shared" si="12"/>
        <v>281.07</v>
      </c>
      <c r="F106" s="8">
        <f t="shared" si="12"/>
        <v>263.8</v>
      </c>
      <c r="G106" s="11">
        <f t="shared" si="12"/>
        <v>3.26</v>
      </c>
      <c r="H106" s="11">
        <f t="shared" si="12"/>
        <v>2.9</v>
      </c>
      <c r="I106" s="8">
        <f t="shared" si="12"/>
        <v>1.44</v>
      </c>
      <c r="J106" s="11">
        <f t="shared" si="12"/>
        <v>0.97199999999999998</v>
      </c>
      <c r="K106" s="11">
        <f t="shared" si="12"/>
        <v>0.72</v>
      </c>
      <c r="L106" s="12">
        <f t="shared" si="16"/>
        <v>5.67</v>
      </c>
      <c r="M106" s="12">
        <f t="shared" si="17"/>
        <v>4.8999999999999995</v>
      </c>
      <c r="N106" s="12">
        <f t="shared" si="18"/>
        <v>1044.8399999999999</v>
      </c>
      <c r="P106" s="13"/>
    </row>
    <row r="107" spans="1:16" ht="14.5" x14ac:dyDescent="0.35">
      <c r="A107" s="8" t="s">
        <v>15</v>
      </c>
      <c r="B107" s="8">
        <v>3.9</v>
      </c>
      <c r="C107" s="9">
        <v>59.169999999999995</v>
      </c>
      <c r="D107" s="10">
        <f t="shared" si="12"/>
        <v>6.6000000000000003E-2</v>
      </c>
      <c r="E107" s="8">
        <f t="shared" si="12"/>
        <v>281.07</v>
      </c>
      <c r="F107" s="8">
        <f t="shared" si="12"/>
        <v>263.8</v>
      </c>
      <c r="G107" s="11">
        <f t="shared" si="12"/>
        <v>3.26</v>
      </c>
      <c r="H107" s="11">
        <f t="shared" si="12"/>
        <v>2.9</v>
      </c>
      <c r="I107" s="8">
        <f t="shared" si="12"/>
        <v>1.44</v>
      </c>
      <c r="J107" s="11">
        <f t="shared" si="12"/>
        <v>0.97199999999999998</v>
      </c>
      <c r="K107" s="11">
        <f t="shared" si="12"/>
        <v>0.72</v>
      </c>
      <c r="L107" s="12">
        <f t="shared" si="16"/>
        <v>5.67</v>
      </c>
      <c r="M107" s="12">
        <f t="shared" si="17"/>
        <v>4.8999999999999995</v>
      </c>
      <c r="N107" s="12">
        <f t="shared" si="18"/>
        <v>66.08</v>
      </c>
      <c r="P107" s="13"/>
    </row>
    <row r="108" spans="1:16" ht="14.5" x14ac:dyDescent="0.35">
      <c r="A108" s="8" t="s">
        <v>100</v>
      </c>
      <c r="B108" s="8">
        <v>14.7</v>
      </c>
      <c r="C108" s="9">
        <v>208.1</v>
      </c>
      <c r="D108" s="10">
        <f t="shared" si="12"/>
        <v>6.6000000000000003E-2</v>
      </c>
      <c r="E108" s="8">
        <f t="shared" si="12"/>
        <v>281.07</v>
      </c>
      <c r="F108" s="8">
        <f t="shared" si="12"/>
        <v>263.8</v>
      </c>
      <c r="G108" s="11">
        <f t="shared" si="12"/>
        <v>3.26</v>
      </c>
      <c r="H108" s="11">
        <f t="shared" si="12"/>
        <v>2.9</v>
      </c>
      <c r="I108" s="8">
        <f t="shared" si="12"/>
        <v>1.44</v>
      </c>
      <c r="J108" s="11">
        <f t="shared" si="12"/>
        <v>0.97199999999999998</v>
      </c>
      <c r="K108" s="11">
        <f t="shared" si="12"/>
        <v>0.72</v>
      </c>
      <c r="L108" s="12">
        <f t="shared" si="16"/>
        <v>5.67</v>
      </c>
      <c r="M108" s="12">
        <f t="shared" si="17"/>
        <v>4.8999999999999995</v>
      </c>
      <c r="N108" s="12">
        <f t="shared" si="18"/>
        <v>233.16</v>
      </c>
      <c r="P108" s="13"/>
    </row>
    <row r="109" spans="1:16" ht="14.5" x14ac:dyDescent="0.35">
      <c r="A109" s="8">
        <v>221219</v>
      </c>
      <c r="B109" s="8">
        <v>7.85</v>
      </c>
      <c r="C109" s="9">
        <v>166.6</v>
      </c>
      <c r="D109" s="10">
        <f t="shared" si="12"/>
        <v>6.6000000000000003E-2</v>
      </c>
      <c r="E109" s="8">
        <f t="shared" si="12"/>
        <v>281.07</v>
      </c>
      <c r="F109" s="8">
        <f t="shared" si="12"/>
        <v>263.8</v>
      </c>
      <c r="G109" s="11">
        <f t="shared" si="12"/>
        <v>3.26</v>
      </c>
      <c r="H109" s="11">
        <f t="shared" si="12"/>
        <v>2.9</v>
      </c>
      <c r="I109" s="8">
        <f t="shared" si="12"/>
        <v>1.44</v>
      </c>
      <c r="J109" s="11">
        <f t="shared" si="12"/>
        <v>0.97199999999999998</v>
      </c>
      <c r="K109" s="11">
        <f t="shared" si="12"/>
        <v>0.72</v>
      </c>
      <c r="L109" s="12">
        <f t="shared" si="16"/>
        <v>5.67</v>
      </c>
      <c r="M109" s="12">
        <f t="shared" si="17"/>
        <v>4.8999999999999995</v>
      </c>
      <c r="N109" s="12">
        <f t="shared" si="18"/>
        <v>183.64999999999998</v>
      </c>
      <c r="P109" s="13"/>
    </row>
    <row r="110" spans="1:16" ht="14.5" x14ac:dyDescent="0.35">
      <c r="A110" s="8">
        <v>221503</v>
      </c>
      <c r="B110" s="8">
        <v>4.9800000000000004</v>
      </c>
      <c r="C110" s="9">
        <v>109.81</v>
      </c>
      <c r="D110" s="10">
        <f t="shared" si="12"/>
        <v>6.6000000000000003E-2</v>
      </c>
      <c r="E110" s="8">
        <f t="shared" si="12"/>
        <v>281.07</v>
      </c>
      <c r="F110" s="8">
        <f t="shared" si="12"/>
        <v>263.8</v>
      </c>
      <c r="G110" s="11">
        <f t="shared" si="12"/>
        <v>3.26</v>
      </c>
      <c r="H110" s="11">
        <f t="shared" si="12"/>
        <v>2.9</v>
      </c>
      <c r="I110" s="8">
        <f t="shared" si="12"/>
        <v>1.44</v>
      </c>
      <c r="J110" s="11">
        <f t="shared" si="12"/>
        <v>0.97199999999999998</v>
      </c>
      <c r="K110" s="11">
        <f t="shared" si="12"/>
        <v>0.72</v>
      </c>
      <c r="L110" s="12">
        <f t="shared" si="16"/>
        <v>5.67</v>
      </c>
      <c r="M110" s="12">
        <f t="shared" si="17"/>
        <v>4.8999999999999995</v>
      </c>
      <c r="N110" s="12">
        <f t="shared" si="18"/>
        <v>120.9</v>
      </c>
      <c r="P110" s="13"/>
    </row>
    <row r="111" spans="1:16" ht="14.5" x14ac:dyDescent="0.35">
      <c r="A111" s="8" t="s">
        <v>101</v>
      </c>
      <c r="B111" s="8">
        <v>1.6</v>
      </c>
      <c r="C111" s="9">
        <v>37.239999999999995</v>
      </c>
      <c r="D111" s="10">
        <f t="shared" si="12"/>
        <v>6.6000000000000003E-2</v>
      </c>
      <c r="E111" s="8">
        <f t="shared" si="12"/>
        <v>281.07</v>
      </c>
      <c r="F111" s="8">
        <f t="shared" si="12"/>
        <v>263.8</v>
      </c>
      <c r="G111" s="11">
        <f t="shared" si="12"/>
        <v>3.26</v>
      </c>
      <c r="H111" s="11">
        <f t="shared" si="12"/>
        <v>2.9</v>
      </c>
      <c r="I111" s="8">
        <f t="shared" si="12"/>
        <v>1.44</v>
      </c>
      <c r="J111" s="11">
        <f t="shared" si="12"/>
        <v>0.97199999999999998</v>
      </c>
      <c r="K111" s="11">
        <f t="shared" si="12"/>
        <v>0.72</v>
      </c>
      <c r="L111" s="12">
        <f t="shared" si="16"/>
        <v>5.67</v>
      </c>
      <c r="M111" s="12">
        <f t="shared" si="17"/>
        <v>4.8999999999999995</v>
      </c>
      <c r="N111" s="12">
        <f t="shared" si="18"/>
        <v>40.93</v>
      </c>
      <c r="P111" s="13"/>
    </row>
    <row r="112" spans="1:16" ht="14.5" x14ac:dyDescent="0.35">
      <c r="A112" s="8" t="s">
        <v>102</v>
      </c>
      <c r="B112" s="8">
        <v>0.15</v>
      </c>
      <c r="C112" s="9">
        <v>10.049999999999999</v>
      </c>
      <c r="D112" s="10">
        <f t="shared" si="12"/>
        <v>6.6000000000000003E-2</v>
      </c>
      <c r="E112" s="8">
        <f t="shared" si="12"/>
        <v>281.07</v>
      </c>
      <c r="F112" s="8">
        <f t="shared" si="12"/>
        <v>263.8</v>
      </c>
      <c r="G112" s="11">
        <f t="shared" si="12"/>
        <v>3.26</v>
      </c>
      <c r="H112" s="11">
        <f t="shared" si="12"/>
        <v>2.9</v>
      </c>
      <c r="I112" s="8">
        <f t="shared" si="12"/>
        <v>1.44</v>
      </c>
      <c r="J112" s="11">
        <f t="shared" si="12"/>
        <v>0.97199999999999998</v>
      </c>
      <c r="K112" s="11">
        <f t="shared" si="12"/>
        <v>0.72</v>
      </c>
      <c r="L112" s="12">
        <f t="shared" si="16"/>
        <v>5.67</v>
      </c>
      <c r="M112" s="12">
        <f t="shared" si="17"/>
        <v>4.8999999999999995</v>
      </c>
      <c r="N112" s="12">
        <f t="shared" si="18"/>
        <v>10.83</v>
      </c>
      <c r="P112" s="13"/>
    </row>
    <row r="113" spans="1:16" ht="14.5" x14ac:dyDescent="0.35">
      <c r="A113" s="8" t="s">
        <v>35</v>
      </c>
      <c r="B113" s="8">
        <v>17.600000000000001</v>
      </c>
      <c r="C113" s="9">
        <v>448.58</v>
      </c>
      <c r="D113" s="10">
        <f t="shared" si="12"/>
        <v>6.6000000000000003E-2</v>
      </c>
      <c r="E113" s="8">
        <f t="shared" si="12"/>
        <v>281.07</v>
      </c>
      <c r="F113" s="8">
        <f t="shared" si="12"/>
        <v>263.8</v>
      </c>
      <c r="G113" s="11">
        <f t="shared" si="12"/>
        <v>3.26</v>
      </c>
      <c r="H113" s="11">
        <f t="shared" si="12"/>
        <v>2.9</v>
      </c>
      <c r="I113" s="8">
        <f t="shared" ref="D113:K129" si="19">I$2</f>
        <v>1.44</v>
      </c>
      <c r="J113" s="11">
        <f t="shared" si="19"/>
        <v>0.97199999999999998</v>
      </c>
      <c r="K113" s="11">
        <f t="shared" si="19"/>
        <v>0.72</v>
      </c>
      <c r="L113" s="12">
        <f t="shared" si="16"/>
        <v>5.67</v>
      </c>
      <c r="M113" s="12">
        <f t="shared" si="17"/>
        <v>4.8999999999999995</v>
      </c>
      <c r="N113" s="12">
        <f t="shared" si="18"/>
        <v>491.74</v>
      </c>
      <c r="P113" s="13"/>
    </row>
    <row r="114" spans="1:16" ht="14.5" x14ac:dyDescent="0.35">
      <c r="A114" s="8" t="s">
        <v>103</v>
      </c>
      <c r="B114" s="8">
        <v>9.5</v>
      </c>
      <c r="C114" s="9">
        <v>162.88</v>
      </c>
      <c r="D114" s="10">
        <f t="shared" si="19"/>
        <v>6.6000000000000003E-2</v>
      </c>
      <c r="E114" s="8">
        <f t="shared" si="19"/>
        <v>281.07</v>
      </c>
      <c r="F114" s="8">
        <f t="shared" si="19"/>
        <v>263.8</v>
      </c>
      <c r="G114" s="11">
        <f t="shared" si="19"/>
        <v>3.26</v>
      </c>
      <c r="H114" s="11">
        <f t="shared" si="19"/>
        <v>2.9</v>
      </c>
      <c r="I114" s="8">
        <f t="shared" si="19"/>
        <v>1.44</v>
      </c>
      <c r="J114" s="11">
        <f t="shared" si="19"/>
        <v>0.97199999999999998</v>
      </c>
      <c r="K114" s="11">
        <f t="shared" si="19"/>
        <v>0.72</v>
      </c>
      <c r="L114" s="12">
        <f t="shared" si="16"/>
        <v>5.67</v>
      </c>
      <c r="M114" s="12">
        <f t="shared" si="17"/>
        <v>4.8999999999999995</v>
      </c>
      <c r="N114" s="12">
        <f t="shared" si="18"/>
        <v>180.95</v>
      </c>
      <c r="P114" s="13"/>
    </row>
    <row r="115" spans="1:16" ht="14.5" x14ac:dyDescent="0.35">
      <c r="A115" s="8" t="s">
        <v>104</v>
      </c>
      <c r="B115" s="8">
        <v>15.1</v>
      </c>
      <c r="C115" s="9">
        <v>310.52999999999997</v>
      </c>
      <c r="D115" s="10">
        <f t="shared" si="19"/>
        <v>6.6000000000000003E-2</v>
      </c>
      <c r="E115" s="8">
        <f t="shared" si="19"/>
        <v>281.07</v>
      </c>
      <c r="F115" s="8">
        <f t="shared" si="19"/>
        <v>263.8</v>
      </c>
      <c r="G115" s="11">
        <f t="shared" si="19"/>
        <v>3.26</v>
      </c>
      <c r="H115" s="11">
        <f t="shared" si="19"/>
        <v>2.9</v>
      </c>
      <c r="I115" s="8">
        <f t="shared" si="19"/>
        <v>1.44</v>
      </c>
      <c r="J115" s="11">
        <f t="shared" si="19"/>
        <v>0.97199999999999998</v>
      </c>
      <c r="K115" s="11">
        <f t="shared" si="19"/>
        <v>0.72</v>
      </c>
      <c r="L115" s="12">
        <f t="shared" si="16"/>
        <v>5.67</v>
      </c>
      <c r="M115" s="12">
        <f t="shared" si="17"/>
        <v>4.8999999999999995</v>
      </c>
      <c r="N115" s="12">
        <f t="shared" si="18"/>
        <v>342.65999999999997</v>
      </c>
      <c r="P115" s="13"/>
    </row>
    <row r="116" spans="1:16" ht="14.5" x14ac:dyDescent="0.35">
      <c r="A116" s="8" t="s">
        <v>39</v>
      </c>
      <c r="B116" s="8">
        <v>18.23</v>
      </c>
      <c r="C116" s="9">
        <v>673.36</v>
      </c>
      <c r="D116" s="10">
        <f t="shared" si="19"/>
        <v>6.6000000000000003E-2</v>
      </c>
      <c r="E116" s="8">
        <f t="shared" si="19"/>
        <v>281.07</v>
      </c>
      <c r="F116" s="8">
        <f t="shared" si="19"/>
        <v>263.8</v>
      </c>
      <c r="G116" s="11">
        <f t="shared" si="19"/>
        <v>3.26</v>
      </c>
      <c r="H116" s="11">
        <f t="shared" si="19"/>
        <v>2.9</v>
      </c>
      <c r="I116" s="8">
        <f t="shared" si="19"/>
        <v>1.44</v>
      </c>
      <c r="J116" s="11">
        <f t="shared" si="19"/>
        <v>0.97199999999999998</v>
      </c>
      <c r="K116" s="11">
        <f t="shared" si="19"/>
        <v>0.72</v>
      </c>
      <c r="L116" s="12">
        <f t="shared" si="16"/>
        <v>5.67</v>
      </c>
      <c r="M116" s="12">
        <f t="shared" si="17"/>
        <v>4.8999999999999995</v>
      </c>
      <c r="N116" s="12">
        <f t="shared" si="18"/>
        <v>731.84</v>
      </c>
      <c r="P116" s="13"/>
    </row>
    <row r="117" spans="1:16" ht="14.5" x14ac:dyDescent="0.35">
      <c r="A117" s="8" t="s">
        <v>8</v>
      </c>
      <c r="B117" s="8">
        <v>3.6</v>
      </c>
      <c r="C117" s="9">
        <v>47.089999999999996</v>
      </c>
      <c r="D117" s="10">
        <f t="shared" si="19"/>
        <v>6.6000000000000003E-2</v>
      </c>
      <c r="E117" s="8">
        <f t="shared" si="19"/>
        <v>281.07</v>
      </c>
      <c r="F117" s="8">
        <f t="shared" si="19"/>
        <v>263.8</v>
      </c>
      <c r="G117" s="11">
        <f t="shared" si="19"/>
        <v>3.26</v>
      </c>
      <c r="H117" s="11">
        <f t="shared" si="19"/>
        <v>2.9</v>
      </c>
      <c r="I117" s="8">
        <f t="shared" si="19"/>
        <v>1.44</v>
      </c>
      <c r="J117" s="11">
        <f t="shared" si="19"/>
        <v>0.97199999999999998</v>
      </c>
      <c r="K117" s="11">
        <f t="shared" si="19"/>
        <v>0.72</v>
      </c>
      <c r="L117" s="12">
        <f t="shared" si="16"/>
        <v>5.67</v>
      </c>
      <c r="M117" s="12">
        <f t="shared" si="17"/>
        <v>4.8999999999999995</v>
      </c>
      <c r="N117" s="12">
        <f t="shared" si="18"/>
        <v>52.97</v>
      </c>
      <c r="P117" s="13"/>
    </row>
    <row r="118" spans="1:16" ht="14.5" x14ac:dyDescent="0.35">
      <c r="A118" s="8" t="s">
        <v>12</v>
      </c>
      <c r="B118" s="8">
        <v>7</v>
      </c>
      <c r="C118" s="9">
        <v>89.97</v>
      </c>
      <c r="D118" s="10">
        <f t="shared" si="19"/>
        <v>6.6000000000000003E-2</v>
      </c>
      <c r="E118" s="8">
        <f t="shared" si="19"/>
        <v>281.07</v>
      </c>
      <c r="F118" s="8">
        <f t="shared" si="19"/>
        <v>263.8</v>
      </c>
      <c r="G118" s="11">
        <f t="shared" si="19"/>
        <v>3.26</v>
      </c>
      <c r="H118" s="11">
        <f t="shared" si="19"/>
        <v>2.9</v>
      </c>
      <c r="I118" s="8">
        <f t="shared" si="19"/>
        <v>1.44</v>
      </c>
      <c r="J118" s="11">
        <f t="shared" si="19"/>
        <v>0.97199999999999998</v>
      </c>
      <c r="K118" s="11">
        <f t="shared" si="19"/>
        <v>0.72</v>
      </c>
      <c r="L118" s="12">
        <f t="shared" si="16"/>
        <v>5.67</v>
      </c>
      <c r="M118" s="12">
        <f t="shared" si="17"/>
        <v>4.8999999999999995</v>
      </c>
      <c r="N118" s="12">
        <f t="shared" si="18"/>
        <v>101.30000000000001</v>
      </c>
      <c r="P118" s="13"/>
    </row>
    <row r="119" spans="1:16" ht="14.5" x14ac:dyDescent="0.35">
      <c r="A119" s="8" t="s">
        <v>105</v>
      </c>
      <c r="B119" s="8">
        <v>151</v>
      </c>
      <c r="C119" s="9">
        <v>1958.05</v>
      </c>
      <c r="D119" s="10">
        <f t="shared" si="19"/>
        <v>6.6000000000000003E-2</v>
      </c>
      <c r="E119" s="8">
        <f t="shared" si="19"/>
        <v>281.07</v>
      </c>
      <c r="F119" s="8">
        <f t="shared" si="19"/>
        <v>263.8</v>
      </c>
      <c r="G119" s="11">
        <f t="shared" si="19"/>
        <v>3.26</v>
      </c>
      <c r="H119" s="11">
        <f t="shared" si="19"/>
        <v>2.9</v>
      </c>
      <c r="I119" s="8">
        <f t="shared" si="19"/>
        <v>1.44</v>
      </c>
      <c r="J119" s="11">
        <f t="shared" si="19"/>
        <v>0.97199999999999998</v>
      </c>
      <c r="K119" s="11">
        <f t="shared" si="19"/>
        <v>0.72</v>
      </c>
      <c r="L119" s="12">
        <f t="shared" si="16"/>
        <v>5.67</v>
      </c>
      <c r="M119" s="12">
        <f t="shared" si="17"/>
        <v>4.8999999999999995</v>
      </c>
      <c r="N119" s="12">
        <f t="shared" si="18"/>
        <v>2203.5600000000004</v>
      </c>
      <c r="P119" s="13"/>
    </row>
    <row r="120" spans="1:16" ht="14.5" x14ac:dyDescent="0.35">
      <c r="A120" s="8" t="s">
        <v>106</v>
      </c>
      <c r="B120" s="8">
        <v>63.2</v>
      </c>
      <c r="C120" s="9">
        <v>843.59</v>
      </c>
      <c r="D120" s="10">
        <f t="shared" si="19"/>
        <v>6.6000000000000003E-2</v>
      </c>
      <c r="E120" s="8">
        <f t="shared" si="19"/>
        <v>281.07</v>
      </c>
      <c r="F120" s="8">
        <f t="shared" si="19"/>
        <v>263.8</v>
      </c>
      <c r="G120" s="11">
        <f t="shared" si="19"/>
        <v>3.26</v>
      </c>
      <c r="H120" s="11">
        <f t="shared" si="19"/>
        <v>2.9</v>
      </c>
      <c r="I120" s="8">
        <f t="shared" si="19"/>
        <v>1.44</v>
      </c>
      <c r="J120" s="11">
        <f t="shared" si="19"/>
        <v>0.97199999999999998</v>
      </c>
      <c r="K120" s="11">
        <f t="shared" si="19"/>
        <v>0.72</v>
      </c>
      <c r="L120" s="12">
        <f t="shared" si="16"/>
        <v>5.67</v>
      </c>
      <c r="M120" s="12">
        <f t="shared" si="17"/>
        <v>4.8999999999999995</v>
      </c>
      <c r="N120" s="12">
        <f t="shared" si="18"/>
        <v>947.93999999999994</v>
      </c>
      <c r="P120" s="13"/>
    </row>
    <row r="121" spans="1:16" ht="14.5" x14ac:dyDescent="0.35">
      <c r="A121" s="8" t="s">
        <v>107</v>
      </c>
      <c r="B121" s="8">
        <v>3.2</v>
      </c>
      <c r="C121" s="9">
        <v>254.82999999999998</v>
      </c>
      <c r="D121" s="10">
        <f t="shared" si="19"/>
        <v>6.6000000000000003E-2</v>
      </c>
      <c r="E121" s="8">
        <f t="shared" si="19"/>
        <v>281.07</v>
      </c>
      <c r="F121" s="8">
        <f t="shared" si="19"/>
        <v>263.8</v>
      </c>
      <c r="G121" s="11">
        <f t="shared" si="19"/>
        <v>3.26</v>
      </c>
      <c r="H121" s="11">
        <f t="shared" si="19"/>
        <v>2.9</v>
      </c>
      <c r="I121" s="8">
        <f t="shared" si="19"/>
        <v>1.44</v>
      </c>
      <c r="J121" s="11">
        <f t="shared" si="19"/>
        <v>0.97199999999999998</v>
      </c>
      <c r="K121" s="11">
        <f t="shared" si="19"/>
        <v>0.72</v>
      </c>
      <c r="L121" s="12">
        <f t="shared" si="16"/>
        <v>5.67</v>
      </c>
      <c r="M121" s="12">
        <f t="shared" si="17"/>
        <v>4.8999999999999995</v>
      </c>
      <c r="N121" s="12">
        <f t="shared" si="18"/>
        <v>274.12</v>
      </c>
      <c r="P121" s="13"/>
    </row>
    <row r="122" spans="1:16" ht="14.5" x14ac:dyDescent="0.35">
      <c r="A122" s="8" t="s">
        <v>108</v>
      </c>
      <c r="B122" s="8">
        <v>33.53</v>
      </c>
      <c r="C122" s="9">
        <v>651.91999999999996</v>
      </c>
      <c r="D122" s="10">
        <f t="shared" si="19"/>
        <v>6.6000000000000003E-2</v>
      </c>
      <c r="E122" s="8">
        <f t="shared" si="19"/>
        <v>281.07</v>
      </c>
      <c r="F122" s="8">
        <f t="shared" si="19"/>
        <v>263.8</v>
      </c>
      <c r="G122" s="11">
        <f t="shared" si="19"/>
        <v>3.26</v>
      </c>
      <c r="H122" s="11">
        <f t="shared" si="19"/>
        <v>2.9</v>
      </c>
      <c r="I122" s="8">
        <f t="shared" si="19"/>
        <v>1.44</v>
      </c>
      <c r="J122" s="11">
        <f t="shared" si="19"/>
        <v>0.97199999999999998</v>
      </c>
      <c r="K122" s="11">
        <f t="shared" si="19"/>
        <v>0.72</v>
      </c>
      <c r="L122" s="12">
        <f>ROUNDUP(((G122*I122)+J122),2)</f>
        <v>5.67</v>
      </c>
      <c r="M122" s="12">
        <f>ROUNDUP(((H122*I122)+K122),2)</f>
        <v>4.8999999999999995</v>
      </c>
      <c r="N122" s="12">
        <f>ROUNDUP((C122+((L122-M122)*B122)+(D122*C122)),2)</f>
        <v>720.77</v>
      </c>
      <c r="P122" s="13"/>
    </row>
    <row r="123" spans="1:16" ht="14.5" x14ac:dyDescent="0.35">
      <c r="A123" s="8">
        <v>221228</v>
      </c>
      <c r="B123" s="8">
        <v>3.4</v>
      </c>
      <c r="C123" s="9">
        <v>78.650000000000006</v>
      </c>
      <c r="D123" s="10">
        <f t="shared" si="19"/>
        <v>6.6000000000000003E-2</v>
      </c>
      <c r="E123" s="8">
        <f t="shared" si="19"/>
        <v>281.07</v>
      </c>
      <c r="F123" s="8">
        <f t="shared" si="19"/>
        <v>263.8</v>
      </c>
      <c r="G123" s="11">
        <f t="shared" si="19"/>
        <v>3.26</v>
      </c>
      <c r="H123" s="11">
        <f t="shared" si="19"/>
        <v>2.9</v>
      </c>
      <c r="I123" s="8">
        <f t="shared" si="19"/>
        <v>1.44</v>
      </c>
      <c r="J123" s="11">
        <f t="shared" si="19"/>
        <v>0.97199999999999998</v>
      </c>
      <c r="K123" s="11">
        <f t="shared" si="19"/>
        <v>0.72</v>
      </c>
      <c r="L123" s="12">
        <f>ROUNDUP(((G123*I123)+J123),2)</f>
        <v>5.67</v>
      </c>
      <c r="M123" s="12">
        <f>ROUNDUP(((H123*I123)+K123),2)</f>
        <v>4.8999999999999995</v>
      </c>
      <c r="N123" s="12">
        <f>ROUNDUP((C123+((L123-M123)*B123)+(D123*C123)),2)</f>
        <v>86.460000000000008</v>
      </c>
      <c r="P123" s="13"/>
    </row>
    <row r="124" spans="1:16" ht="14.5" x14ac:dyDescent="0.35">
      <c r="A124" s="8" t="s">
        <v>109</v>
      </c>
      <c r="B124" s="8">
        <v>28.29</v>
      </c>
      <c r="C124" s="9">
        <v>378.48</v>
      </c>
      <c r="D124" s="10">
        <f t="shared" ref="D124:D128" si="20">D$2</f>
        <v>6.6000000000000003E-2</v>
      </c>
      <c r="E124" s="8">
        <f t="shared" si="19"/>
        <v>281.07</v>
      </c>
      <c r="F124" s="8">
        <f t="shared" si="19"/>
        <v>263.8</v>
      </c>
      <c r="G124" s="11">
        <f t="shared" si="19"/>
        <v>3.26</v>
      </c>
      <c r="H124" s="11">
        <f t="shared" si="19"/>
        <v>2.9</v>
      </c>
      <c r="I124" s="8">
        <f t="shared" si="19"/>
        <v>1.44</v>
      </c>
      <c r="J124" s="11">
        <f t="shared" si="19"/>
        <v>0.97199999999999998</v>
      </c>
      <c r="K124" s="11">
        <f t="shared" si="19"/>
        <v>0.72</v>
      </c>
      <c r="L124" s="12">
        <f>ROUNDUP(((G124*I124)+J124),2)</f>
        <v>5.67</v>
      </c>
      <c r="M124" s="12">
        <f>ROUNDUP(((H124*I124)+K124),2)</f>
        <v>4.8999999999999995</v>
      </c>
      <c r="N124" s="12">
        <f>ROUNDUP((C124+((L124-M124)*B124)+(D124*C124)),2)</f>
        <v>425.25</v>
      </c>
      <c r="P124" s="13"/>
    </row>
    <row r="125" spans="1:16" ht="14.5" x14ac:dyDescent="0.35">
      <c r="A125" s="8" t="s">
        <v>110</v>
      </c>
      <c r="B125" s="8">
        <v>10.85</v>
      </c>
      <c r="C125" s="9">
        <v>172.57999999999998</v>
      </c>
      <c r="D125" s="10">
        <f t="shared" si="20"/>
        <v>6.6000000000000003E-2</v>
      </c>
      <c r="E125" s="8">
        <f t="shared" si="19"/>
        <v>281.07</v>
      </c>
      <c r="F125" s="8">
        <f t="shared" si="19"/>
        <v>263.8</v>
      </c>
      <c r="G125" s="11">
        <f t="shared" si="19"/>
        <v>3.26</v>
      </c>
      <c r="H125" s="11">
        <f t="shared" si="19"/>
        <v>2.9</v>
      </c>
      <c r="I125" s="8">
        <f t="shared" si="19"/>
        <v>1.44</v>
      </c>
      <c r="J125" s="11">
        <f t="shared" si="19"/>
        <v>0.97199999999999998</v>
      </c>
      <c r="K125" s="11">
        <f t="shared" si="19"/>
        <v>0.72</v>
      </c>
      <c r="L125" s="12">
        <f>ROUNDUP(((G125*I125)+J125),2)</f>
        <v>5.67</v>
      </c>
      <c r="M125" s="12">
        <f>ROUNDUP(((H125*I125)+K125),2)</f>
        <v>4.8999999999999995</v>
      </c>
      <c r="N125" s="12">
        <f>ROUNDUP((C125+((L125-M125)*B125)+(D125*C125)),2)</f>
        <v>192.32999999999998</v>
      </c>
      <c r="P125" s="13"/>
    </row>
    <row r="126" spans="1:16" ht="14.5" x14ac:dyDescent="0.35">
      <c r="A126" s="8" t="s">
        <v>111</v>
      </c>
      <c r="B126" s="8">
        <v>15.8</v>
      </c>
      <c r="C126" s="9">
        <v>281.99</v>
      </c>
      <c r="D126" s="10">
        <f t="shared" si="20"/>
        <v>6.6000000000000003E-2</v>
      </c>
      <c r="E126" s="8">
        <f t="shared" si="19"/>
        <v>281.07</v>
      </c>
      <c r="F126" s="8">
        <f t="shared" si="19"/>
        <v>263.8</v>
      </c>
      <c r="G126" s="11">
        <f t="shared" si="19"/>
        <v>3.26</v>
      </c>
      <c r="H126" s="11">
        <f t="shared" si="19"/>
        <v>2.9</v>
      </c>
      <c r="I126" s="8">
        <f t="shared" si="19"/>
        <v>1.44</v>
      </c>
      <c r="J126" s="11">
        <f t="shared" si="19"/>
        <v>0.97199999999999998</v>
      </c>
      <c r="K126" s="11">
        <f t="shared" si="19"/>
        <v>0.72</v>
      </c>
      <c r="L126" s="12">
        <f>ROUNDUP(((G126*I126)+J126),2)</f>
        <v>5.67</v>
      </c>
      <c r="M126" s="12">
        <f>ROUNDUP(((H126*I126)+K126),2)</f>
        <v>4.8999999999999995</v>
      </c>
      <c r="N126" s="12">
        <f>ROUNDUP((C126+((L126-M126)*B126)+(D126*C126)),2)</f>
        <v>312.77</v>
      </c>
      <c r="P126" s="13"/>
    </row>
    <row r="127" spans="1:16" ht="14.5" x14ac:dyDescent="0.35">
      <c r="A127" s="8" t="s">
        <v>112</v>
      </c>
      <c r="B127" s="8">
        <v>37.08</v>
      </c>
      <c r="C127" s="9">
        <v>494.28999999999996</v>
      </c>
      <c r="D127" s="10">
        <f t="shared" si="20"/>
        <v>6.6000000000000003E-2</v>
      </c>
      <c r="E127" s="8">
        <f t="shared" si="19"/>
        <v>281.07</v>
      </c>
      <c r="F127" s="8">
        <f t="shared" si="19"/>
        <v>263.8</v>
      </c>
      <c r="G127" s="11">
        <f t="shared" si="19"/>
        <v>3.26</v>
      </c>
      <c r="H127" s="11">
        <f t="shared" si="19"/>
        <v>2.9</v>
      </c>
      <c r="I127" s="8">
        <f t="shared" si="19"/>
        <v>1.44</v>
      </c>
      <c r="J127" s="11">
        <f t="shared" si="19"/>
        <v>0.97199999999999998</v>
      </c>
      <c r="K127" s="11">
        <f t="shared" si="19"/>
        <v>0.72</v>
      </c>
      <c r="L127" s="12">
        <f>ROUNDUP(((G127*I127)+J127),2)</f>
        <v>5.67</v>
      </c>
      <c r="M127" s="12">
        <f>ROUNDUP(((H127*I127)+K127),2)</f>
        <v>4.8999999999999995</v>
      </c>
      <c r="N127" s="12">
        <f>ROUNDUP((C127+((L127-M127)*B127)+(D127*C127)),2)</f>
        <v>555.47</v>
      </c>
      <c r="P127" s="13"/>
    </row>
    <row r="128" spans="1:16" ht="14.5" x14ac:dyDescent="0.35">
      <c r="A128" s="8" t="s">
        <v>113</v>
      </c>
      <c r="B128" s="8">
        <v>146</v>
      </c>
      <c r="C128" s="9">
        <v>2126.46</v>
      </c>
      <c r="D128" s="10">
        <f t="shared" si="20"/>
        <v>6.6000000000000003E-2</v>
      </c>
      <c r="E128" s="8">
        <f t="shared" si="19"/>
        <v>281.07</v>
      </c>
      <c r="F128" s="8">
        <f t="shared" si="19"/>
        <v>263.8</v>
      </c>
      <c r="G128" s="11">
        <f t="shared" si="19"/>
        <v>3.26</v>
      </c>
      <c r="H128" s="11">
        <f t="shared" si="19"/>
        <v>2.9</v>
      </c>
      <c r="I128" s="8">
        <f t="shared" si="19"/>
        <v>1.44</v>
      </c>
      <c r="J128" s="11">
        <f t="shared" si="19"/>
        <v>0.97199999999999998</v>
      </c>
      <c r="K128" s="11">
        <f t="shared" si="19"/>
        <v>0.72</v>
      </c>
      <c r="L128" s="12">
        <f>ROUNDUP(((G128*I128)+J128),2)</f>
        <v>5.67</v>
      </c>
      <c r="M128" s="12">
        <f>ROUNDUP(((H128*I128)+K128),2)</f>
        <v>4.8999999999999995</v>
      </c>
      <c r="N128" s="12">
        <f>ROUNDUP((C128+((L128-M128)*B128)+(D128*C128)),2)</f>
        <v>2379.23</v>
      </c>
      <c r="P128" s="13"/>
    </row>
    <row r="129" spans="1:16" ht="14.5" x14ac:dyDescent="0.35">
      <c r="A129" s="8" t="s">
        <v>94</v>
      </c>
      <c r="B129" s="8">
        <v>25.16</v>
      </c>
      <c r="C129" s="9">
        <v>408.03</v>
      </c>
      <c r="D129" s="10">
        <f t="shared" ref="D129:I129" si="21">D$2</f>
        <v>6.6000000000000003E-2</v>
      </c>
      <c r="E129" s="8">
        <f t="shared" si="21"/>
        <v>281.07</v>
      </c>
      <c r="F129" s="8">
        <f t="shared" si="21"/>
        <v>263.8</v>
      </c>
      <c r="G129" s="11">
        <f t="shared" si="21"/>
        <v>3.26</v>
      </c>
      <c r="H129" s="11">
        <f t="shared" si="21"/>
        <v>2.9</v>
      </c>
      <c r="I129" s="8">
        <f t="shared" si="21"/>
        <v>1.44</v>
      </c>
      <c r="J129" s="11">
        <f t="shared" si="19"/>
        <v>0.97199999999999998</v>
      </c>
      <c r="K129" s="11">
        <f t="shared" si="19"/>
        <v>0.72</v>
      </c>
      <c r="L129" s="12">
        <f>ROUNDUP(((G129*I129)+J129),2)</f>
        <v>5.67</v>
      </c>
      <c r="M129" s="12">
        <f>ROUNDUP(((H129*I129)+K129),2)</f>
        <v>4.8999999999999995</v>
      </c>
      <c r="N129" s="12">
        <f>ROUNDUP((C129+((L129-M129)*B129)+(D129*C129)),2)</f>
        <v>454.34</v>
      </c>
      <c r="P12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Surcharge Calculator 7-20-26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THAPASE, THUMMAGINJALA</dc:creator>
  <cp:keywords/>
  <dc:description/>
  <cp:lastModifiedBy>DAHIYA, ROHIT</cp:lastModifiedBy>
  <cp:revision/>
  <dcterms:created xsi:type="dcterms:W3CDTF">2026-08-04T18:36:58Z</dcterms:created>
  <dcterms:modified xsi:type="dcterms:W3CDTF">2026-09-14T15:22:49Z</dcterms:modified>
  <cp:category/>
  <cp:contentStatus/>
</cp:coreProperties>
</file>